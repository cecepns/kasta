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05" windowWidth="19425" windowHeight="11505" activeTab="4"/>
  </bookViews>
  <sheets>
    <sheet name="ENTRY" sheetId="6" r:id="rId1"/>
    <sheet name="TAHUN 2024" sheetId="1" r:id="rId2"/>
    <sheet name="Data Kasus Pertanahan 2024" sheetId="4" r:id="rId3"/>
    <sheet name="Resume Pemetaan" sheetId="5" r:id="rId4"/>
    <sheet name="TREND KASUS" sheetId="3" r:id="rId5"/>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5" l="1"/>
  <c r="F32" i="5"/>
  <c r="F30" i="5"/>
  <c r="F28" i="5"/>
  <c r="F26" i="5"/>
  <c r="F24" i="5"/>
  <c r="F22" i="5"/>
  <c r="F20" i="5"/>
  <c r="F18" i="5"/>
  <c r="F16" i="5"/>
  <c r="F14" i="5"/>
  <c r="F12" i="5"/>
  <c r="F10" i="5"/>
  <c r="F8" i="5"/>
  <c r="F6" i="5"/>
  <c r="G6" i="5"/>
  <c r="L35" i="4"/>
  <c r="L33" i="4"/>
  <c r="L31" i="4"/>
  <c r="L29" i="4"/>
  <c r="L27" i="4"/>
  <c r="L25" i="4"/>
  <c r="L23" i="4"/>
  <c r="L21" i="4"/>
  <c r="L19" i="4"/>
  <c r="L17" i="4"/>
  <c r="L15" i="4"/>
  <c r="L13" i="4"/>
  <c r="L11" i="4"/>
  <c r="L9" i="4"/>
  <c r="L7" i="4"/>
  <c r="J35" i="4"/>
  <c r="J33" i="4"/>
  <c r="J31" i="4"/>
  <c r="J29" i="4"/>
  <c r="J27" i="4"/>
  <c r="J25" i="4"/>
  <c r="J23" i="4"/>
  <c r="J21" i="4"/>
  <c r="J19" i="4"/>
  <c r="J17" i="4"/>
  <c r="J15" i="4"/>
  <c r="J13" i="4"/>
  <c r="J11" i="4"/>
  <c r="J9" i="4"/>
  <c r="J7" i="4"/>
  <c r="K35" i="4"/>
  <c r="K33" i="4"/>
  <c r="K31" i="4"/>
  <c r="K29" i="4"/>
  <c r="K27" i="4"/>
  <c r="K25" i="4"/>
  <c r="K23" i="4"/>
  <c r="K21" i="4"/>
  <c r="K19" i="4"/>
  <c r="K17" i="4"/>
  <c r="K15" i="4"/>
  <c r="K13" i="4"/>
  <c r="K11" i="4"/>
  <c r="K9" i="4"/>
  <c r="K7" i="4"/>
  <c r="B16" i="1" l="1"/>
  <c r="C16" i="1"/>
  <c r="B34" i="1" l="1"/>
  <c r="B32" i="1"/>
  <c r="B30" i="1"/>
  <c r="B28" i="1"/>
  <c r="B26" i="1"/>
  <c r="B24" i="1"/>
  <c r="B22" i="1"/>
  <c r="B20" i="1"/>
  <c r="B18" i="1"/>
  <c r="B14" i="1"/>
  <c r="B12" i="1"/>
  <c r="B10" i="1"/>
  <c r="B8" i="1"/>
  <c r="B6" i="1"/>
  <c r="K34" i="1"/>
  <c r="K32" i="1"/>
  <c r="K30" i="1"/>
  <c r="K28" i="1"/>
  <c r="K26" i="1"/>
  <c r="K24" i="1"/>
  <c r="K22" i="1"/>
  <c r="K20" i="1"/>
  <c r="K18" i="1"/>
  <c r="K16" i="1"/>
  <c r="K14" i="1"/>
  <c r="K12" i="1"/>
  <c r="K10" i="1"/>
  <c r="K8" i="1"/>
  <c r="K6" i="1"/>
  <c r="F34" i="1"/>
  <c r="F32" i="1"/>
  <c r="F30" i="1"/>
  <c r="F28" i="1"/>
  <c r="F26" i="1"/>
  <c r="F24" i="1"/>
  <c r="F22" i="1"/>
  <c r="F20" i="1"/>
  <c r="F18" i="1"/>
  <c r="F16" i="1"/>
  <c r="F14" i="1"/>
  <c r="F12" i="1"/>
  <c r="F10" i="1"/>
  <c r="F8" i="1"/>
  <c r="F6" i="1"/>
  <c r="G34" i="1"/>
  <c r="E35" i="4" s="1"/>
  <c r="G32" i="1"/>
  <c r="E33" i="4" s="1"/>
  <c r="G30" i="1"/>
  <c r="E31" i="4" s="1"/>
  <c r="G28" i="1"/>
  <c r="G26" i="1"/>
  <c r="G24" i="1"/>
  <c r="G22" i="1"/>
  <c r="E23" i="4" s="1"/>
  <c r="G20" i="1"/>
  <c r="E21" i="4" s="1"/>
  <c r="G18" i="1"/>
  <c r="E19" i="4" s="1"/>
  <c r="G16" i="1"/>
  <c r="E17" i="4" s="1"/>
  <c r="G14" i="1"/>
  <c r="E15" i="4" s="1"/>
  <c r="G12" i="1"/>
  <c r="E13" i="4" s="1"/>
  <c r="G10" i="1"/>
  <c r="G8" i="1"/>
  <c r="G6" i="1"/>
  <c r="I34" i="1"/>
  <c r="G35" i="4" s="1"/>
  <c r="I32" i="1"/>
  <c r="G33" i="4" s="1"/>
  <c r="I30" i="1"/>
  <c r="G31" i="4" s="1"/>
  <c r="I28" i="1"/>
  <c r="G29" i="4" s="1"/>
  <c r="I26" i="1"/>
  <c r="G27" i="4" s="1"/>
  <c r="I24" i="1"/>
  <c r="G25" i="4" s="1"/>
  <c r="I22" i="1"/>
  <c r="G23" i="4" s="1"/>
  <c r="I20" i="1"/>
  <c r="G21" i="4" s="1"/>
  <c r="I18" i="1"/>
  <c r="G19" i="4" s="1"/>
  <c r="I16" i="1"/>
  <c r="G17" i="4" s="1"/>
  <c r="I14" i="1"/>
  <c r="G15" i="4" s="1"/>
  <c r="I12" i="1"/>
  <c r="G13" i="4" s="1"/>
  <c r="I10" i="1"/>
  <c r="I8" i="1"/>
  <c r="I6" i="1"/>
  <c r="H34" i="1"/>
  <c r="D35" i="4" s="1"/>
  <c r="H32" i="1"/>
  <c r="D33" i="4" s="1"/>
  <c r="H30" i="1"/>
  <c r="D31" i="4" s="1"/>
  <c r="H28" i="1"/>
  <c r="D29" i="4" s="1"/>
  <c r="H26" i="1"/>
  <c r="D27" i="4" s="1"/>
  <c r="H24" i="1"/>
  <c r="D25" i="4" s="1"/>
  <c r="H22" i="1"/>
  <c r="D23" i="4" s="1"/>
  <c r="H20" i="1"/>
  <c r="D21" i="4" s="1"/>
  <c r="H18" i="1"/>
  <c r="D19" i="4" s="1"/>
  <c r="H16" i="1"/>
  <c r="D17" i="4" s="1"/>
  <c r="H14" i="1"/>
  <c r="D15" i="4" s="1"/>
  <c r="H12" i="1"/>
  <c r="H10" i="1"/>
  <c r="H8" i="1"/>
  <c r="H6" i="1"/>
  <c r="E35" i="1"/>
  <c r="C36" i="4" s="1"/>
  <c r="D35" i="5" s="1"/>
  <c r="E33" i="1"/>
  <c r="C34" i="4" s="1"/>
  <c r="D33" i="5" s="1"/>
  <c r="E31" i="1"/>
  <c r="C32" i="4" s="1"/>
  <c r="D31" i="5" s="1"/>
  <c r="E29" i="1"/>
  <c r="C30" i="4" s="1"/>
  <c r="D29" i="5" s="1"/>
  <c r="E27" i="1"/>
  <c r="C28" i="4" s="1"/>
  <c r="D27" i="5" s="1"/>
  <c r="E25" i="1"/>
  <c r="C26" i="4" s="1"/>
  <c r="D25" i="5" s="1"/>
  <c r="E23" i="1"/>
  <c r="C24" i="4" s="1"/>
  <c r="D23" i="5" s="1"/>
  <c r="E21" i="1"/>
  <c r="C22" i="4" s="1"/>
  <c r="D21" i="5" s="1"/>
  <c r="E19" i="1"/>
  <c r="C20" i="4" s="1"/>
  <c r="D19" i="5" s="1"/>
  <c r="E17" i="1"/>
  <c r="C18" i="4" s="1"/>
  <c r="D17" i="5" s="1"/>
  <c r="E15" i="1"/>
  <c r="C16" i="4" s="1"/>
  <c r="D15" i="5" s="1"/>
  <c r="E13" i="1"/>
  <c r="C14" i="4" s="1"/>
  <c r="D13" i="5" s="1"/>
  <c r="E11" i="1"/>
  <c r="C12" i="4" s="1"/>
  <c r="D11" i="5" s="1"/>
  <c r="E9" i="1"/>
  <c r="C10" i="4" s="1"/>
  <c r="D9" i="5" s="1"/>
  <c r="E7" i="1"/>
  <c r="C8" i="4" s="1"/>
  <c r="D7" i="5" s="1"/>
  <c r="E34" i="1"/>
  <c r="C35" i="4" s="1"/>
  <c r="D34" i="5" s="1"/>
  <c r="E32" i="1"/>
  <c r="C33" i="4" s="1"/>
  <c r="D32" i="5" s="1"/>
  <c r="E30" i="1"/>
  <c r="C31" i="4" s="1"/>
  <c r="D30" i="5" s="1"/>
  <c r="E28" i="1"/>
  <c r="C29" i="4" s="1"/>
  <c r="D28" i="5" s="1"/>
  <c r="E26" i="1"/>
  <c r="C27" i="4" s="1"/>
  <c r="D26" i="5" s="1"/>
  <c r="E24" i="1"/>
  <c r="C25" i="4" s="1"/>
  <c r="D24" i="5" s="1"/>
  <c r="E22" i="1"/>
  <c r="C23" i="4" s="1"/>
  <c r="D22" i="5" s="1"/>
  <c r="E20" i="1"/>
  <c r="C21" i="4" s="1"/>
  <c r="D20" i="5" s="1"/>
  <c r="E18" i="1"/>
  <c r="C19" i="4" s="1"/>
  <c r="D18" i="5" s="1"/>
  <c r="E16" i="1"/>
  <c r="C17" i="4" s="1"/>
  <c r="D16" i="5" s="1"/>
  <c r="E14" i="1"/>
  <c r="C15" i="4" s="1"/>
  <c r="D14" i="5" s="1"/>
  <c r="E12" i="1"/>
  <c r="C13" i="4" s="1"/>
  <c r="D12" i="5" s="1"/>
  <c r="E10" i="1"/>
  <c r="C11" i="4" s="1"/>
  <c r="D10" i="5" s="1"/>
  <c r="E8" i="1"/>
  <c r="C9" i="4" s="1"/>
  <c r="D8" i="5" s="1"/>
  <c r="E6" i="1"/>
  <c r="C7" i="4" s="1"/>
  <c r="D6" i="5" s="1"/>
  <c r="C34" i="1"/>
  <c r="C32" i="1"/>
  <c r="C30" i="1"/>
  <c r="C28" i="1"/>
  <c r="C26" i="1"/>
  <c r="C24" i="1"/>
  <c r="C22" i="1"/>
  <c r="C20" i="1"/>
  <c r="C18" i="1"/>
  <c r="C14" i="1"/>
  <c r="C12" i="1"/>
  <c r="C10" i="1"/>
  <c r="C8" i="1"/>
  <c r="C6" i="1"/>
  <c r="C18" i="3"/>
  <c r="E8" i="5"/>
  <c r="E10" i="5"/>
  <c r="E12" i="5"/>
  <c r="E14" i="5"/>
  <c r="E16" i="5"/>
  <c r="E18" i="5"/>
  <c r="E20" i="5"/>
  <c r="E22" i="5"/>
  <c r="E24" i="5"/>
  <c r="E26" i="5"/>
  <c r="E28" i="5"/>
  <c r="E30" i="5"/>
  <c r="E32" i="5"/>
  <c r="E34"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6" i="5"/>
  <c r="E29" i="4"/>
  <c r="E27" i="4"/>
  <c r="E25" i="4"/>
  <c r="G18" i="3" l="1"/>
  <c r="G17" i="3"/>
  <c r="G16" i="3"/>
  <c r="G15" i="3"/>
  <c r="G14" i="3"/>
  <c r="G13" i="3"/>
  <c r="G12" i="3"/>
  <c r="G11" i="3"/>
  <c r="G10" i="3"/>
  <c r="G9" i="3"/>
  <c r="G8" i="3"/>
  <c r="F18" i="3"/>
  <c r="F17" i="3"/>
  <c r="F16" i="3"/>
  <c r="F15" i="3"/>
  <c r="F14" i="3"/>
  <c r="F13" i="3"/>
  <c r="F12" i="3"/>
  <c r="F11" i="3"/>
  <c r="F10" i="3"/>
  <c r="F9" i="3"/>
  <c r="E18" i="3"/>
  <c r="E17" i="3"/>
  <c r="E16" i="3"/>
  <c r="E15" i="3"/>
  <c r="E14" i="3"/>
  <c r="E13" i="3"/>
  <c r="E12" i="3"/>
  <c r="E11" i="3"/>
  <c r="E10" i="3"/>
  <c r="E9" i="3"/>
  <c r="D18" i="3"/>
  <c r="D17" i="3"/>
  <c r="D16" i="3"/>
  <c r="D15" i="3"/>
  <c r="D14" i="3"/>
  <c r="D13" i="3"/>
  <c r="D12" i="3"/>
  <c r="D11" i="3"/>
  <c r="D10" i="3"/>
  <c r="D9" i="3"/>
  <c r="F8" i="3"/>
  <c r="E8" i="3"/>
  <c r="D8" i="3"/>
  <c r="C17" i="3"/>
  <c r="C16" i="3"/>
  <c r="C15" i="3"/>
  <c r="C14" i="3"/>
  <c r="C13" i="3"/>
  <c r="C12" i="3"/>
  <c r="C11" i="3"/>
  <c r="C10" i="3"/>
  <c r="C9" i="3"/>
  <c r="C8" i="3"/>
  <c r="H34" i="5"/>
  <c r="G34" i="5"/>
  <c r="B34" i="5"/>
  <c r="G32" i="5"/>
  <c r="B32" i="5"/>
  <c r="H30" i="5"/>
  <c r="G30" i="5"/>
  <c r="B30" i="5"/>
  <c r="G28" i="5"/>
  <c r="B28" i="5"/>
  <c r="G26" i="5"/>
  <c r="B26" i="5"/>
  <c r="G24" i="5"/>
  <c r="B24" i="5"/>
  <c r="G22" i="5"/>
  <c r="B22" i="5"/>
  <c r="G20" i="5"/>
  <c r="B20" i="5"/>
  <c r="G18" i="5"/>
  <c r="B18" i="5"/>
  <c r="G16" i="5"/>
  <c r="B16" i="5"/>
  <c r="B14" i="5"/>
  <c r="G14" i="5"/>
  <c r="G12" i="5"/>
  <c r="B12" i="5"/>
  <c r="D13" i="4"/>
  <c r="G10" i="5"/>
  <c r="B10" i="5"/>
  <c r="G11" i="4"/>
  <c r="E11" i="4"/>
  <c r="D11" i="4"/>
  <c r="G8" i="5"/>
  <c r="B8" i="5"/>
  <c r="G9" i="4"/>
  <c r="D9" i="4"/>
  <c r="E9" i="4"/>
  <c r="B6" i="5"/>
  <c r="E6" i="5"/>
  <c r="G7" i="4"/>
  <c r="E7" i="4"/>
  <c r="D7" i="4"/>
  <c r="C19" i="3" l="1"/>
</calcChain>
</file>

<file path=xl/sharedStrings.xml><?xml version="1.0" encoding="utf-8"?>
<sst xmlns="http://schemas.openxmlformats.org/spreadsheetml/2006/main" count="258" uniqueCount="161">
  <si>
    <t>No.</t>
  </si>
  <si>
    <t>Nomor Register Surat Masuk</t>
  </si>
  <si>
    <t>Nomor dan Tanggal Surat</t>
  </si>
  <si>
    <t>Data Objek</t>
  </si>
  <si>
    <t>Status</t>
  </si>
  <si>
    <t>Luas</t>
  </si>
  <si>
    <t>Letak</t>
  </si>
  <si>
    <t>Pokok Masalah</t>
  </si>
  <si>
    <t>Sanggahan terhadap tanah yang telah disertipikatkan oleh oknum dan telah dijual ke Pemerintah Kabupaten Mamasa tanpa sepengetahuan Pengadu</t>
  </si>
  <si>
    <t>Para Pihak</t>
  </si>
  <si>
    <t>Sanggahan terhadap penerbitan sertipikat tanah (sawah) atas nama MARI karena melakukan pengukuran tanah tanpa sepengetahuan Ahli Waris Asri.P (MUSDALIFA).</t>
  </si>
  <si>
    <t xml:space="preserve">DATA PENGADUAN KANTOR PERTANAHAN KABUPATEN MAMASA </t>
  </si>
  <si>
    <t>Sanggahan atas permohonan pemberian hak milik atas tanah yang terletak di Luppi'Sepi', Desa Tamalantik, Kecamatan Tanduk Kalua oleh SELFANUS IDRUS GOALANGI.</t>
  </si>
  <si>
    <t>Penangguhan proses penerbitan sertipikat yang dimohonkan oleh SELFANUS IDRUS GOALANGI.</t>
  </si>
  <si>
    <t>Pengajuan surat perihal Sanggahan dari ALLOKAIYANG tanggal 27 Maret 2023 yang diterima oleh Kantor Pertanahan Mamasa tanggal 03 April 2023 atas Penerbitan Sertipikat Hak Milik Nomor:00402/Tawalian/2010 atas nama ROBERTH di Dusun Palambasan, Kelurahan Tawalian, Kecamatan Tawalian, Kabupaten Mamasa, Provinsi Sulawesi Barat.</t>
  </si>
  <si>
    <t>Pencegahan penerbitan sertipikat.</t>
  </si>
  <si>
    <t>TL</t>
  </si>
  <si>
    <t>TREND KASUS PERTANAHAN</t>
  </si>
  <si>
    <t>KANTOR PERTANAHAN KABUPATEN MAMASA</t>
  </si>
  <si>
    <t>Subjek Kasus Pertanahan</t>
  </si>
  <si>
    <t>No</t>
  </si>
  <si>
    <t>Tipologi Kasus</t>
  </si>
  <si>
    <t>Perorangan dengan</t>
  </si>
  <si>
    <t>Masyarakat dengan</t>
  </si>
  <si>
    <t>Badan Hukum dengan</t>
  </si>
  <si>
    <t>Antar Kelompok</t>
  </si>
  <si>
    <t>Perorangan</t>
  </si>
  <si>
    <t>Badan Hukum</t>
  </si>
  <si>
    <t>Pemerintah/BUMN</t>
  </si>
  <si>
    <t>Masyarakat</t>
  </si>
  <si>
    <t>Prosedur Letak Batas dan Luas</t>
  </si>
  <si>
    <t>Prosedur Pendaftaran Hak</t>
  </si>
  <si>
    <t>Prosedur Penetapan Hak</t>
  </si>
  <si>
    <t>Prosedur Peralihan Hak</t>
  </si>
  <si>
    <t>Tanah Obyek Landreform</t>
  </si>
  <si>
    <t>Pengadaan Tanah</t>
  </si>
  <si>
    <t>Pelaksanaan Putusan Pengadikan</t>
  </si>
  <si>
    <t>Ganti Rugi Tanah exPartikelir</t>
  </si>
  <si>
    <t>Tanah Adat</t>
  </si>
  <si>
    <t>Tanah Ulayat</t>
  </si>
  <si>
    <t>Penguasaan dan Pemilikan Tanah</t>
  </si>
  <si>
    <t>Jumlah</t>
  </si>
  <si>
    <t xml:space="preserve">DATA KASUS PERTANAHAN </t>
  </si>
  <si>
    <t>Objek Kasus</t>
  </si>
  <si>
    <t>Penggunaan Tanah</t>
  </si>
  <si>
    <t>Akar Masalah</t>
  </si>
  <si>
    <t>Bentuk Penyelesaian</t>
  </si>
  <si>
    <t>Kriteria Penyelesaian</t>
  </si>
  <si>
    <t>Usulan Kebijakan/Strategi Pencegahan kasus</t>
  </si>
  <si>
    <t>RESUME PEMETAAN POTENSI KASUS PERTANAHAN</t>
  </si>
  <si>
    <t>NO.</t>
  </si>
  <si>
    <t>TIPOLOGI KASUS</t>
  </si>
  <si>
    <t>SUBJEK KASUS</t>
  </si>
  <si>
    <t>AKAR MASALAH</t>
  </si>
  <si>
    <t>PIHAK YANG BERKONTRIBUSI MENIMBULKAN KASUS</t>
  </si>
  <si>
    <t>PENYELESAIAN KASUS</t>
  </si>
  <si>
    <t>USULAN STRATEGI/KEBIJAKAN PENCEGAHAN KASUS</t>
  </si>
  <si>
    <t xml:space="preserve"> </t>
  </si>
  <si>
    <t>Bahwa sertipikat atas nama ORPA yang masuk dalam lokasi yang dipersengketakan yang penerbitannya setelah masuk surat sanggahan, agar tidak diserahkan sebelum ada penyelesaian baik secara musyawarah ataupun jalur hukum</t>
  </si>
  <si>
    <t xml:space="preserve">                                             </t>
  </si>
  <si>
    <t>Status HAT</t>
  </si>
  <si>
    <t>Luas Objek</t>
  </si>
  <si>
    <t>Letak Objek</t>
  </si>
  <si>
    <t>Pihak Pengadu</t>
  </si>
  <si>
    <t>Pihak Teradu</t>
  </si>
  <si>
    <t>Pihak Berkontribusi</t>
  </si>
  <si>
    <t>Tindak Lanjut/Penyelesaian</t>
  </si>
  <si>
    <t>Tipologi PP</t>
  </si>
  <si>
    <t>Tipologi PB</t>
  </si>
  <si>
    <t>Tipologi MP/B</t>
  </si>
  <si>
    <t>Tipologi BB</t>
  </si>
  <si>
    <t>Tipologi MM</t>
  </si>
  <si>
    <t>Pengadu :</t>
  </si>
  <si>
    <t>Teradu :</t>
  </si>
  <si>
    <t>Luas Tanah M2</t>
  </si>
  <si>
    <t>Pihak yang Berkontribusi Menimbulkan Kasus</t>
  </si>
  <si>
    <t xml:space="preserve">1731 M² </t>
  </si>
  <si>
    <t>Dengan adanya pengajuan sertipikat Atas Nama Nurhayati dan Ajis Muis yang terletak di Ulumea, Desa Salukonta agar tidak menerbitkan sertipikat. Karena tanah tersebut tanah adat/warisan yang tidak diperjualbelikan atau dipindahtangankan</t>
  </si>
  <si>
    <t>Penangguhan atas permohonan pembuatan sertipikat A.N Nurhayati &amp; Ajis Muis</t>
  </si>
  <si>
    <t xml:space="preserve">Arruan Lempan                               </t>
  </si>
  <si>
    <t>Selfanus Idrus</t>
  </si>
  <si>
    <t>03 Maret 2024</t>
  </si>
  <si>
    <t>Dengan adanya permohonan penerbitan Surat Hak Milik (Sertipikat) atas tanah yang terletak di Kampung Salurano, Kec. Tandukkalua atas nama Selfanus Idrus</t>
  </si>
  <si>
    <t>Keberatan atas penerbitan sertipikat oleh Selfanus Idrus</t>
  </si>
  <si>
    <t>18 Maret 2024</t>
  </si>
  <si>
    <t>Demmanggaya Manggetan</t>
  </si>
  <si>
    <t>To'Barana, Desa Parondobulawan, Kecamatan Tandukkalua, Kabupaten Mamasa, Provinsi Sulawesi Barat.</t>
  </si>
  <si>
    <t>Adanya keberatan oleh Demmanggaya Manggetan oleh pendaftaran tanah/sertipikat atas nama Samuel Sude/Arnice</t>
  </si>
  <si>
    <t xml:space="preserve">Selfanus Idrus Goalangi </t>
  </si>
  <si>
    <t>Ponggalunggu &amp; Langi'Kampun</t>
  </si>
  <si>
    <t>Penangguhan penerbitan atas nama Ponggalunggu ataupun Langi'Kampun</t>
  </si>
  <si>
    <t>Mekalia, Desa Salurano, Kecamatan Tandukkalua, Kabupaten Mamasa, Provinsi Sulawesi Barat.</t>
  </si>
  <si>
    <t>Menindaklanjuti sanggahan Indo Arruan Lempan yang menyatak keberatan atas pensertipikatan tanah sawah milik Indo Tasik Karaeng. Padahal sawah itu bukan milik Indo'Arruan Lempan yang telah dijual kepada pihak Ponggalunggu. Apabila tanah milik Indo' Karaeng dihalangi maka kami meminta untuk tidak menerbitkan sertipikat atas nama Ponggalunggu ataupun Langi Kampun</t>
  </si>
  <si>
    <t xml:space="preserve">Nasrullah                           </t>
  </si>
  <si>
    <t>23 April 2024</t>
  </si>
  <si>
    <t>29 April 2024</t>
  </si>
  <si>
    <t>Najamuddin</t>
  </si>
  <si>
    <t>Desa Saluahok, Kecamatan Mehalaan, Kabupaten Mamasa, Provinsi Sulawesi Barat.</t>
  </si>
  <si>
    <t>Keberatan atas terbitnya sertipikat tanah dengan nomor : 31.01.16.07.01.08181 atas nama Najamuddin</t>
  </si>
  <si>
    <t>Keberatan atas pengukuran tanah atas nama Najamuddin yang kemudian menjadi dasar penerbitan sertipikat nomor 31.01.16.07.01.00181</t>
  </si>
  <si>
    <t>TAHUN 2024</t>
  </si>
  <si>
    <t>TAHUN ANGGARAN 2024</t>
  </si>
  <si>
    <t>Tanah Negara</t>
  </si>
  <si>
    <t>SHM</t>
  </si>
  <si>
    <t>Tanggal Surat</t>
  </si>
  <si>
    <t>Tanggal Penyelesaian</t>
  </si>
  <si>
    <t>Nurhayati dan Ajis Muis</t>
  </si>
  <si>
    <t>Pendaftaran bidang tanah/sertipikat Atas Nama Arnice pada bulan februari 2024 yang mendapat pencegahan/keberatan dari Demmanggaya Manggetan dengan dalih/alasan bahwa tanah/lahan hak milik yang bersangkutan</t>
  </si>
  <si>
    <t>Perihal</t>
  </si>
  <si>
    <t>Pencegahan Penerbitan Sertipikat</t>
  </si>
  <si>
    <t xml:space="preserve">Pencegahan/Keberatan </t>
  </si>
  <si>
    <t>Keberatan</t>
  </si>
  <si>
    <t>Pencegahan Proses Pensertipikatan</t>
  </si>
  <si>
    <t>Desa Salurano, Kecamatan Tanduk Kalua, Kabupaten Mamasa, Provinsi Sulawesi Barat</t>
  </si>
  <si>
    <t xml:space="preserve">Samuel Sude dan Arnice           </t>
  </si>
  <si>
    <t>Desa Salukonta, Kecamatan Tawalian, Kabupaten Mamasa, Provinsi Sulawesi Barat</t>
  </si>
  <si>
    <t xml:space="preserve">Lusiana, Dkk.      </t>
  </si>
  <si>
    <t>25 Januari 2024</t>
  </si>
  <si>
    <t>30 Mei 2024</t>
  </si>
  <si>
    <t>Deppasulle Arruan Linggi</t>
  </si>
  <si>
    <t>Daen Malewa &amp; Deppasulle alias Sulle</t>
  </si>
  <si>
    <t>Pencegahan agar tidak melayani pengukuran tanah atau penerbitan sertipikat tanah oleh pihak manapun, terkhusus Sdr. Daen Malewa &amp; Sdr. Deppasulle alias Sulle</t>
  </si>
  <si>
    <t>Desa Kanan, Kecamatan Tandukkalua, Kabupaten Mamasa, Provinsi Sulawesi Barat.</t>
  </si>
  <si>
    <t>21 Mei 2024</t>
  </si>
  <si>
    <t>Paonganan</t>
  </si>
  <si>
    <t>Sehubung dilaksanakan pengukuran tanah atas nama Petrus oleh tim BPN Mamasa, maka kami keberatan pengukuran dan pembatalan sertipikat hak milik atas nama Petrus</t>
  </si>
  <si>
    <t>Dusun Kumbang, Desa Taupe, Kecamatan Mamasa, Kabupaten Mamasa, Provinsi Sulawesi Barat.</t>
  </si>
  <si>
    <t>Keberatan atas pengukuran tanah atas nama Petrus oleh tim BPN Mamasa, serta pencegahan penerbitan sertpikat hak milik atas nama Petrus</t>
  </si>
  <si>
    <t>01/MAMASA/I/2024</t>
  </si>
  <si>
    <t>02/MAMASA/III/2024</t>
  </si>
  <si>
    <t>03/MAMASA/III/2024</t>
  </si>
  <si>
    <t>04/MAMASA/IV/2024</t>
  </si>
  <si>
    <t>05/MAMASA/IV/2024</t>
  </si>
  <si>
    <t>06/MAMASA/V/2024</t>
  </si>
  <si>
    <t>07/MAMASA/V/2024</t>
  </si>
  <si>
    <t>Penundaan Pengukuran Lahan</t>
  </si>
  <si>
    <t>23 Juni 2024</t>
  </si>
  <si>
    <t>Bongga Malillin, Dkk</t>
  </si>
  <si>
    <t>Pattakarua, Marlina, Daud, Harlis Pranata, Abner, Rosdawati &amp; Natalia</t>
  </si>
  <si>
    <t>Penundaan Pengukuran Lahan An Pattakarua, Marlina, Daud, Harlis Pranata, Abner, Rosdawati, Natalia dengan alasan tanah tersebut seharusnya di bagi dua berdasarkan silsilah keluarga, yaitu Rumpun Keluarga ARRUAN BANGA dan LIMBO SILOMBA</t>
  </si>
  <si>
    <t>Dusun Rantesepang Desa Malabo Kecamatan Tandukkalua Kabupaten Mamasa</t>
  </si>
  <si>
    <r>
      <t xml:space="preserve">± </t>
    </r>
    <r>
      <rPr>
        <sz val="6.6"/>
        <color theme="1"/>
        <rFont val="Calibri"/>
        <family val="2"/>
      </rPr>
      <t>2 Ha</t>
    </r>
  </si>
  <si>
    <t>08/MAMASA/VII/2024</t>
  </si>
  <si>
    <t>Pencegahan Pengukuran Ulang Tanah</t>
  </si>
  <si>
    <t>01 Juli 2024</t>
  </si>
  <si>
    <t>Levinus</t>
  </si>
  <si>
    <t>Dominggus</t>
  </si>
  <si>
    <t xml:space="preserve">Pencegahan/Keberatan pengukuran ulang  tanah yang ada di Desa Rantekamase Kec.Sumarorong dari Bpk Dominggus, karena tanah tersebut milik Bpk Levinus </t>
  </si>
  <si>
    <t>Desa Rantekamase Kecamatan Sumarorong Kabupaten Mamasa Provinsi Sulawesi Barat</t>
  </si>
  <si>
    <r>
      <t>±</t>
    </r>
    <r>
      <rPr>
        <sz val="7.7"/>
        <color theme="1"/>
        <rFont val="Calibri"/>
        <family val="2"/>
      </rPr>
      <t>2911 M²</t>
    </r>
  </si>
  <si>
    <t>09/MAMASA/VII/2024</t>
  </si>
  <si>
    <t>02 Juli 2024</t>
  </si>
  <si>
    <t>Deppabala</t>
  </si>
  <si>
    <t>Arruan Paillin</t>
  </si>
  <si>
    <t>Pencegahan Pengukuran dan Penerbitan Sertipikat Tanah di Dusun Orong Desa Malabo, Kec.Tandukkalua, karena tanah(sawah) tersebut merupakan jaminan utang piutang antara Deppabala dan Arruan Paillin</t>
  </si>
  <si>
    <t>Dusun Orang Desa Malabo Kecamatan Tandukkalua Kabupaten Mamasa Provinsi Sulawesi Barat</t>
  </si>
  <si>
    <t>Petrus, Limbong Gayang</t>
  </si>
  <si>
    <t>Kaukus dan Surat Balasan</t>
  </si>
  <si>
    <t>Penyelesaian oleh Kepala Desa</t>
  </si>
  <si>
    <t>Tahapan Penanganan Permen ATR No. 21 Tahun 2020</t>
  </si>
  <si>
    <t>Aparat Desa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</si>
</sst>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1"/>
      <name val="Calibri"/>
      <family val="2"/>
      <scheme val="minor"/>
    </font>
    <font>
      <b/>
      <sz val="11"/>
      <color theme="1"/>
      <name val="Cambria"/>
      <family val="1"/>
      <scheme val="major"/>
    </font>
    <font>
      <sz val="11"/>
      <color theme="1"/>
      <name val="Cambria"/>
      <family val="1"/>
      <scheme val="major"/>
    </font>
    <font>
      <b/>
      <sz val="8"/>
      <color theme="1"/>
      <name val="Cambria"/>
      <family val="1"/>
      <scheme val="major"/>
    </font>
    <font>
      <b/>
      <sz val="7"/>
      <color theme="1"/>
      <name val="Cambria"/>
      <family val="1"/>
      <scheme val="major"/>
    </font>
    <font>
      <sz val="6"/>
      <color theme="1"/>
      <name val="Cambria"/>
      <family val="1"/>
      <scheme val="major"/>
    </font>
    <font>
      <sz val="9"/>
      <color theme="1"/>
      <name val="Cambria"/>
      <family val="1"/>
      <scheme val="major"/>
    </font>
    <font>
      <b/>
      <sz val="6"/>
      <color theme="1"/>
      <name val="Cambria"/>
      <family val="1"/>
      <scheme val="major"/>
    </font>
    <font>
      <b/>
      <sz val="10"/>
      <color theme="1"/>
      <name val="Cambria"/>
      <family val="1"/>
      <scheme val="major"/>
    </font>
    <font>
      <sz val="10"/>
      <color theme="1"/>
      <name val="Cambria"/>
      <family val="1"/>
      <scheme val="major"/>
    </font>
    <font>
      <b/>
      <sz val="10"/>
      <color theme="1"/>
      <name val="Calibri"/>
      <family val="2"/>
    </font>
    <font>
      <sz val="10"/>
      <color theme="1"/>
      <name val="Calibri"/>
      <family val="2"/>
      <scheme val="minor"/>
    </font>
    <font>
      <b/>
      <sz val="10"/>
      <color theme="1"/>
      <name val="Calibri"/>
      <family val="2"/>
      <scheme val="minor"/>
    </font>
    <font>
      <b/>
      <sz val="9"/>
      <color theme="1"/>
      <name val="Calibri"/>
      <family val="2"/>
      <scheme val="minor"/>
    </font>
    <font>
      <sz val="11"/>
      <color theme="1"/>
      <name val="Calibri"/>
      <family val="2"/>
    </font>
    <font>
      <sz val="6.6"/>
      <color theme="1"/>
      <name val="Calibri"/>
      <family val="2"/>
    </font>
    <font>
      <sz val="7.7"/>
      <color theme="1"/>
      <name val="Calibri"/>
      <family val="2"/>
    </font>
  </fonts>
  <fills count="5">
    <fill>
      <patternFill patternType="none"/>
    </fill>
    <fill>
      <patternFill patternType="gray125"/>
    </fill>
    <fill>
      <patternFill patternType="solid">
        <fgColor rgb="FFF4AF83"/>
        <bgColor indexed="64"/>
      </patternFill>
    </fill>
    <fill>
      <patternFill patternType="solid">
        <fgColor rgb="FFC5D9F0"/>
        <bgColor indexed="64"/>
      </patternFill>
    </fill>
    <fill>
      <patternFill patternType="solid">
        <fgColor theme="0" tint="-0.3499862666707357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bottom/>
      <diagonal/>
    </border>
    <border>
      <left style="medium">
        <color rgb="FF000000"/>
      </left>
      <right style="medium">
        <color rgb="FF000000"/>
      </right>
      <top style="medium">
        <color indexed="64"/>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44">
    <xf numFmtId="0" fontId="0" fillId="0" borderId="0" xfId="0"/>
    <xf numFmtId="0" fontId="0" fillId="0" borderId="1" xfId="0" applyBorder="1"/>
    <xf numFmtId="0" fontId="0" fillId="0" borderId="1" xfId="0" applyBorder="1" applyAlignment="1">
      <alignment horizontal="center" vertical="top"/>
    </xf>
    <xf numFmtId="0" fontId="0" fillId="0" borderId="5"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xf>
    <xf numFmtId="0" fontId="3" fillId="0" borderId="0" xfId="0" applyFont="1"/>
    <xf numFmtId="0" fontId="4" fillId="2" borderId="10" xfId="0" applyFont="1" applyFill="1" applyBorder="1" applyAlignment="1">
      <alignment vertical="center"/>
    </xf>
    <xf numFmtId="0" fontId="5" fillId="2" borderId="14" xfId="0" applyFont="1" applyFill="1" applyBorder="1" applyAlignment="1">
      <alignment horizontal="center" vertical="center"/>
    </xf>
    <xf numFmtId="0" fontId="5" fillId="2" borderId="16" xfId="0" applyFont="1" applyFill="1" applyBorder="1" applyAlignment="1">
      <alignment horizontal="center" vertical="center"/>
    </xf>
    <xf numFmtId="0" fontId="2" fillId="2" borderId="17" xfId="0" applyFont="1" applyFill="1" applyBorder="1" applyAlignment="1">
      <alignment horizontal="center" vertical="top"/>
    </xf>
    <xf numFmtId="0" fontId="5" fillId="2" borderId="18" xfId="0" applyFont="1" applyFill="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vertical="center"/>
    </xf>
    <xf numFmtId="0" fontId="6" fillId="0" borderId="18" xfId="0" applyFont="1" applyBorder="1" applyAlignment="1">
      <alignment vertical="center"/>
    </xf>
    <xf numFmtId="0" fontId="5" fillId="0" borderId="14" xfId="0" applyFont="1" applyBorder="1" applyAlignment="1">
      <alignment horizontal="center" vertical="center"/>
    </xf>
    <xf numFmtId="0" fontId="5" fillId="0" borderId="16" xfId="0" applyFont="1" applyBorder="1" applyAlignment="1">
      <alignment vertical="center"/>
    </xf>
    <xf numFmtId="0" fontId="6" fillId="0" borderId="16" xfId="0" applyFont="1" applyBorder="1" applyAlignment="1">
      <alignment vertical="center"/>
    </xf>
    <xf numFmtId="0" fontId="5" fillId="0" borderId="19" xfId="0" applyFont="1" applyBorder="1" applyAlignment="1">
      <alignment horizontal="center" vertical="center"/>
    </xf>
    <xf numFmtId="0" fontId="5" fillId="0" borderId="19" xfId="0" applyFont="1" applyBorder="1" applyAlignment="1">
      <alignment vertical="center"/>
    </xf>
    <xf numFmtId="0" fontId="6" fillId="0" borderId="19" xfId="0" applyFont="1" applyBorder="1" applyAlignment="1">
      <alignment vertical="center"/>
    </xf>
    <xf numFmtId="0" fontId="8" fillId="2" borderId="17" xfId="0" applyFont="1" applyFill="1" applyBorder="1" applyAlignment="1">
      <alignment vertical="center"/>
    </xf>
    <xf numFmtId="0" fontId="7" fillId="2" borderId="18" xfId="0" applyFont="1" applyFill="1" applyBorder="1" applyAlignment="1">
      <alignment horizontal="center" vertical="center"/>
    </xf>
    <xf numFmtId="0" fontId="6" fillId="2" borderId="18" xfId="0" applyFont="1" applyFill="1" applyBorder="1" applyAlignment="1">
      <alignment vertical="center"/>
    </xf>
    <xf numFmtId="0" fontId="0" fillId="0" borderId="1" xfId="0" applyBorder="1" applyAlignment="1">
      <alignment horizontal="center" vertical="top" wrapText="1"/>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top"/>
    </xf>
    <xf numFmtId="0" fontId="0" fillId="0" borderId="2" xfId="0" applyBorder="1" applyAlignment="1">
      <alignment horizontal="center" vertical="center"/>
    </xf>
    <xf numFmtId="15" fontId="0" fillId="0" borderId="2" xfId="0" quotePrefix="1" applyNumberFormat="1" applyBorder="1" applyAlignment="1">
      <alignment horizontal="center" vertical="center"/>
    </xf>
    <xf numFmtId="0" fontId="0" fillId="0" borderId="2" xfId="0" applyBorder="1" applyAlignment="1">
      <alignment horizontal="center" vertical="top" wrapText="1"/>
    </xf>
    <xf numFmtId="0" fontId="0" fillId="0" borderId="0" xfId="0" applyAlignment="1">
      <alignment horizontal="center" vertical="top"/>
    </xf>
    <xf numFmtId="0" fontId="0" fillId="0" borderId="0" xfId="0" applyAlignment="1">
      <alignment wrapText="1"/>
    </xf>
    <xf numFmtId="0" fontId="0" fillId="0" borderId="0" xfId="0" applyAlignment="1">
      <alignment horizontal="center" vertical="center" wrapText="1"/>
    </xf>
    <xf numFmtId="0" fontId="9" fillId="0" borderId="0" xfId="0" applyFont="1" applyAlignment="1">
      <alignment horizontal="center" vertical="center"/>
    </xf>
    <xf numFmtId="0" fontId="6" fillId="0" borderId="19" xfId="0" applyFont="1" applyBorder="1" applyAlignment="1">
      <alignment horizontal="right" vertical="center"/>
    </xf>
    <xf numFmtId="0" fontId="6" fillId="0" borderId="18" xfId="0" applyFont="1" applyBorder="1" applyAlignment="1">
      <alignment horizontal="right" vertical="center"/>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0" borderId="22" xfId="0" applyBorder="1" applyAlignment="1">
      <alignment horizontal="left" vertical="center" wrapText="1"/>
    </xf>
    <xf numFmtId="0" fontId="0" fillId="0" borderId="21" xfId="0" applyBorder="1" applyAlignment="1">
      <alignment horizontal="right" vertical="center"/>
    </xf>
    <xf numFmtId="0" fontId="0" fillId="0" borderId="20" xfId="0" applyBorder="1" applyAlignment="1">
      <alignment horizontal="righ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right"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10" fillId="0" borderId="24" xfId="0" applyFont="1" applyBorder="1" applyAlignment="1">
      <alignment horizontal="center" vertical="center" wrapText="1"/>
    </xf>
    <xf numFmtId="0" fontId="10" fillId="0" borderId="9" xfId="0" applyFont="1"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vertical="center" wrapText="1"/>
    </xf>
    <xf numFmtId="0" fontId="10" fillId="0" borderId="2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5" xfId="0" applyFont="1" applyBorder="1" applyAlignment="1">
      <alignment horizontal="center" vertical="center" wrapText="1"/>
    </xf>
    <xf numFmtId="0" fontId="0" fillId="0" borderId="2" xfId="0" quotePrefix="1"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2" xfId="0" applyFont="1" applyBorder="1" applyAlignment="1">
      <alignment horizontal="center"/>
    </xf>
    <xf numFmtId="0" fontId="10" fillId="0" borderId="3" xfId="0" applyFont="1" applyBorder="1" applyAlignment="1">
      <alignment horizontal="center"/>
    </xf>
    <xf numFmtId="0" fontId="12" fillId="0" borderId="2" xfId="0" applyFont="1" applyBorder="1" applyAlignment="1">
      <alignment horizontal="center"/>
    </xf>
    <xf numFmtId="0" fontId="12" fillId="0" borderId="3"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4" borderId="1"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0" borderId="0" xfId="0" applyFont="1"/>
    <xf numFmtId="0" fontId="13" fillId="0" borderId="2" xfId="0" applyFont="1" applyBorder="1" applyAlignment="1">
      <alignment horizontal="center"/>
    </xf>
    <xf numFmtId="0" fontId="0" fillId="0" borderId="22" xfId="0" applyFont="1" applyBorder="1" applyAlignment="1">
      <alignment horizontal="right" vertical="center"/>
    </xf>
    <xf numFmtId="0" fontId="0" fillId="0" borderId="6" xfId="0" applyFont="1" applyBorder="1" applyAlignment="1">
      <alignment horizontal="left" vertical="center" wrapText="1"/>
    </xf>
    <xf numFmtId="0" fontId="13" fillId="0" borderId="3" xfId="0" applyFont="1" applyBorder="1" applyAlignment="1">
      <alignment horizontal="center"/>
    </xf>
    <xf numFmtId="0" fontId="0" fillId="0" borderId="23" xfId="0" applyFont="1" applyBorder="1" applyAlignment="1">
      <alignment horizontal="right" vertical="center"/>
    </xf>
    <xf numFmtId="0" fontId="0" fillId="0" borderId="0" xfId="0" applyFont="1" applyBorder="1" applyAlignment="1">
      <alignment horizontal="left" vertical="center" wrapText="1"/>
    </xf>
    <xf numFmtId="0" fontId="0" fillId="0" borderId="21" xfId="0" applyFont="1" applyBorder="1" applyAlignment="1">
      <alignment horizontal="right" vertical="center"/>
    </xf>
    <xf numFmtId="0" fontId="0" fillId="0" borderId="22" xfId="0" applyFont="1" applyBorder="1" applyAlignment="1">
      <alignment horizontal="left" vertical="center" wrapText="1"/>
    </xf>
    <xf numFmtId="0" fontId="0" fillId="0" borderId="20" xfId="0" applyFont="1" applyBorder="1" applyAlignment="1">
      <alignment horizontal="right" vertical="center"/>
    </xf>
    <xf numFmtId="0" fontId="13" fillId="0" borderId="4" xfId="0" applyFont="1" applyBorder="1" applyAlignment="1">
      <alignment horizontal="center"/>
    </xf>
    <xf numFmtId="0" fontId="0" fillId="0" borderId="0" xfId="0" applyFont="1" applyAlignment="1">
      <alignment horizontal="right" vertical="center"/>
    </xf>
    <xf numFmtId="0" fontId="0" fillId="0" borderId="0" xfId="0" applyFont="1" applyAlignment="1">
      <alignment horizontal="center" vertical="center"/>
    </xf>
    <xf numFmtId="0" fontId="0" fillId="0" borderId="9" xfId="0" applyFont="1" applyBorder="1" applyAlignment="1">
      <alignment horizontal="left" vertical="center" wrapText="1"/>
    </xf>
    <xf numFmtId="49" fontId="0" fillId="0" borderId="2" xfId="0" applyNumberFormat="1" applyBorder="1" applyAlignment="1">
      <alignment horizontal="center" vertical="center"/>
    </xf>
    <xf numFmtId="49" fontId="0" fillId="0" borderId="1" xfId="0" quotePrefix="1" applyNumberFormat="1" applyBorder="1" applyAlignment="1">
      <alignment horizontal="center" vertical="center"/>
    </xf>
    <xf numFmtId="0" fontId="0" fillId="0" borderId="2" xfId="0" applyBorder="1" applyAlignment="1">
      <alignment horizontal="center" vertical="center" wrapText="1"/>
    </xf>
    <xf numFmtId="0" fontId="15" fillId="0" borderId="2"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xf>
    <xf numFmtId="0" fontId="1" fillId="0" borderId="7" xfId="0" applyFont="1" applyBorder="1" applyAlignment="1">
      <alignment horizontal="center"/>
    </xf>
    <xf numFmtId="0" fontId="1" fillId="0" borderId="5" xfId="0" applyFont="1" applyBorder="1" applyAlignment="1">
      <alignment horizontal="center"/>
    </xf>
    <xf numFmtId="0" fontId="1" fillId="0" borderId="8"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xf>
    <xf numFmtId="0" fontId="1" fillId="0" borderId="6" xfId="0" applyFont="1" applyBorder="1" applyAlignment="1">
      <alignment horizontal="center" vertical="center"/>
    </xf>
    <xf numFmtId="0" fontId="1" fillId="0" borderId="20" xfId="0" applyFont="1" applyBorder="1" applyAlignment="1">
      <alignment horizontal="center" vertical="center"/>
    </xf>
    <xf numFmtId="0" fontId="1" fillId="0" borderId="9"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quotePrefix="1" applyBorder="1" applyAlignment="1">
      <alignment horizontal="center" vertical="center"/>
    </xf>
    <xf numFmtId="0" fontId="0" fillId="0" borderId="3" xfId="0" quotePrefix="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15" fontId="0" fillId="0" borderId="2" xfId="0" applyNumberFormat="1" applyBorder="1" applyAlignment="1">
      <alignment horizontal="center" vertical="center"/>
    </xf>
    <xf numFmtId="15" fontId="0" fillId="0" borderId="3" xfId="0" applyNumberFormat="1" applyBorder="1" applyAlignment="1">
      <alignment horizontal="center" vertical="center"/>
    </xf>
    <xf numFmtId="0" fontId="14" fillId="2" borderId="1"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2"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1"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9" xfId="0" applyFont="1" applyFill="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2" xfId="0" quotePrefix="1" applyFont="1" applyBorder="1" applyAlignment="1">
      <alignment horizontal="center" vertical="center"/>
    </xf>
    <xf numFmtId="0" fontId="12" fillId="0" borderId="3" xfId="0" quotePrefix="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2" fillId="0" borderId="0" xfId="0" applyFont="1" applyAlignment="1">
      <alignment horizont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5" xfId="0" applyFont="1" applyFill="1" applyBorder="1" applyAlignment="1">
      <alignment horizontal="center" vertical="center" wrapText="1"/>
    </xf>
    <xf numFmtId="0" fontId="5" fillId="2"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zoomScale="70" zoomScaleNormal="70" workbookViewId="0">
      <pane xSplit="6" ySplit="1" topLeftCell="M2" activePane="bottomRight" state="frozen"/>
      <selection pane="topRight" activeCell="F1" sqref="F1"/>
      <selection pane="bottomLeft" activeCell="A2" sqref="A2"/>
      <selection pane="bottomRight" activeCell="P2" sqref="P2:P11"/>
    </sheetView>
  </sheetViews>
  <sheetFormatPr defaultRowHeight="15" x14ac:dyDescent="0.25"/>
  <cols>
    <col min="1" max="1" width="4.140625" bestFit="1" customWidth="1"/>
    <col min="2" max="2" width="24.85546875" customWidth="1"/>
    <col min="3" max="3" width="16.85546875" customWidth="1"/>
    <col min="4" max="4" width="19.5703125" bestFit="1" customWidth="1"/>
    <col min="5" max="5" width="34.7109375" customWidth="1"/>
    <col min="6" max="6" width="30.28515625" customWidth="1"/>
    <col min="7" max="11" width="20.5703125" customWidth="1"/>
    <col min="12" max="12" width="58.85546875" customWidth="1"/>
    <col min="13" max="13" width="15.42578125" customWidth="1"/>
    <col min="14" max="14" width="39.85546875" customWidth="1"/>
    <col min="15" max="15" width="13" customWidth="1"/>
    <col min="16" max="16" width="18.5703125" bestFit="1" customWidth="1"/>
    <col min="17" max="18" width="21.5703125" customWidth="1"/>
    <col min="19" max="19" width="14.5703125" bestFit="1" customWidth="1"/>
  </cols>
  <sheetData>
    <row r="1" spans="1:19" s="35" customFormat="1" ht="65.25" customHeight="1" x14ac:dyDescent="0.25">
      <c r="A1" s="72" t="s">
        <v>0</v>
      </c>
      <c r="B1" s="72" t="s">
        <v>1</v>
      </c>
      <c r="C1" s="72" t="s">
        <v>108</v>
      </c>
      <c r="D1" s="72" t="s">
        <v>104</v>
      </c>
      <c r="E1" s="72" t="s">
        <v>63</v>
      </c>
      <c r="F1" s="72" t="s">
        <v>64</v>
      </c>
      <c r="G1" s="72" t="s">
        <v>67</v>
      </c>
      <c r="H1" s="72" t="s">
        <v>68</v>
      </c>
      <c r="I1" s="72" t="s">
        <v>69</v>
      </c>
      <c r="J1" s="72" t="s">
        <v>70</v>
      </c>
      <c r="K1" s="72" t="s">
        <v>71</v>
      </c>
      <c r="L1" s="72" t="s">
        <v>7</v>
      </c>
      <c r="M1" s="72" t="s">
        <v>60</v>
      </c>
      <c r="N1" s="72" t="s">
        <v>62</v>
      </c>
      <c r="O1" s="72" t="s">
        <v>61</v>
      </c>
      <c r="P1" s="72" t="s">
        <v>65</v>
      </c>
      <c r="Q1" s="72" t="s">
        <v>66</v>
      </c>
      <c r="R1" s="73" t="s">
        <v>105</v>
      </c>
      <c r="S1" s="73" t="s">
        <v>47</v>
      </c>
    </row>
    <row r="2" spans="1:19" s="35" customFormat="1" ht="75" x14ac:dyDescent="0.25">
      <c r="A2" s="5">
        <v>1</v>
      </c>
      <c r="B2" s="5" t="s">
        <v>128</v>
      </c>
      <c r="C2" s="90" t="s">
        <v>109</v>
      </c>
      <c r="D2" s="30" t="s">
        <v>117</v>
      </c>
      <c r="E2" s="39" t="s">
        <v>116</v>
      </c>
      <c r="F2" s="5" t="s">
        <v>106</v>
      </c>
      <c r="G2" s="5" t="s">
        <v>40</v>
      </c>
      <c r="H2" s="5"/>
      <c r="I2" s="5"/>
      <c r="J2" s="5"/>
      <c r="K2" s="5"/>
      <c r="L2" s="28" t="s">
        <v>77</v>
      </c>
      <c r="M2" s="5" t="s">
        <v>102</v>
      </c>
      <c r="N2" s="5" t="s">
        <v>115</v>
      </c>
      <c r="O2" s="4" t="s">
        <v>76</v>
      </c>
      <c r="P2" s="5"/>
      <c r="Q2" s="5" t="s">
        <v>157</v>
      </c>
      <c r="R2" s="5"/>
      <c r="S2" s="5"/>
    </row>
    <row r="3" spans="1:19" s="35" customFormat="1" ht="54.75" customHeight="1" x14ac:dyDescent="0.25">
      <c r="A3" s="5">
        <v>2</v>
      </c>
      <c r="B3" s="5" t="s">
        <v>129</v>
      </c>
      <c r="C3" s="90" t="s">
        <v>110</v>
      </c>
      <c r="D3" s="30" t="s">
        <v>81</v>
      </c>
      <c r="E3" s="39" t="s">
        <v>79</v>
      </c>
      <c r="F3" s="5" t="s">
        <v>80</v>
      </c>
      <c r="G3" s="5" t="s">
        <v>40</v>
      </c>
      <c r="H3" s="5"/>
      <c r="I3" s="5"/>
      <c r="J3" s="5"/>
      <c r="K3" s="5"/>
      <c r="L3" s="28" t="s">
        <v>82</v>
      </c>
      <c r="M3" s="5" t="s">
        <v>102</v>
      </c>
      <c r="N3" s="5" t="s">
        <v>113</v>
      </c>
      <c r="O3" s="4"/>
      <c r="P3" s="5"/>
      <c r="Q3" s="5" t="s">
        <v>159</v>
      </c>
      <c r="R3" s="5"/>
      <c r="S3" s="5"/>
    </row>
    <row r="4" spans="1:19" s="35" customFormat="1" ht="82.5" customHeight="1" x14ac:dyDescent="0.25">
      <c r="A4" s="5">
        <v>3</v>
      </c>
      <c r="B4" s="5" t="s">
        <v>130</v>
      </c>
      <c r="C4" s="90" t="s">
        <v>110</v>
      </c>
      <c r="D4" s="30" t="s">
        <v>84</v>
      </c>
      <c r="E4" s="39" t="s">
        <v>114</v>
      </c>
      <c r="F4" s="5" t="s">
        <v>85</v>
      </c>
      <c r="G4" s="5" t="s">
        <v>40</v>
      </c>
      <c r="H4" s="5"/>
      <c r="I4" s="5"/>
      <c r="J4" s="5"/>
      <c r="K4" s="5"/>
      <c r="L4" s="28" t="s">
        <v>107</v>
      </c>
      <c r="M4" s="5" t="s">
        <v>102</v>
      </c>
      <c r="N4" s="5" t="s">
        <v>86</v>
      </c>
      <c r="O4" s="61"/>
      <c r="P4" s="5"/>
      <c r="Q4" s="5" t="s">
        <v>158</v>
      </c>
      <c r="R4" s="5"/>
      <c r="S4" s="5"/>
    </row>
    <row r="5" spans="1:19" s="35" customFormat="1" ht="81" customHeight="1" x14ac:dyDescent="0.25">
      <c r="A5" s="5">
        <v>4</v>
      </c>
      <c r="B5" s="5" t="s">
        <v>131</v>
      </c>
      <c r="C5" s="90" t="s">
        <v>112</v>
      </c>
      <c r="D5" s="88" t="s">
        <v>94</v>
      </c>
      <c r="E5" s="39" t="s">
        <v>88</v>
      </c>
      <c r="F5" s="5" t="s">
        <v>89</v>
      </c>
      <c r="G5" s="5" t="s">
        <v>40</v>
      </c>
      <c r="H5" s="5"/>
      <c r="I5" s="5"/>
      <c r="J5" s="5"/>
      <c r="K5" s="5"/>
      <c r="L5" s="28" t="s">
        <v>90</v>
      </c>
      <c r="M5" s="5" t="s">
        <v>102</v>
      </c>
      <c r="N5" s="5" t="s">
        <v>91</v>
      </c>
      <c r="O5" s="61"/>
      <c r="P5" s="5"/>
      <c r="Q5" s="5" t="s">
        <v>159</v>
      </c>
      <c r="R5" s="5"/>
      <c r="S5" s="5"/>
    </row>
    <row r="6" spans="1:19" s="35" customFormat="1" ht="40.5" customHeight="1" x14ac:dyDescent="0.25">
      <c r="A6" s="5">
        <v>5</v>
      </c>
      <c r="B6" s="5" t="s">
        <v>132</v>
      </c>
      <c r="C6" s="5" t="s">
        <v>111</v>
      </c>
      <c r="D6" s="89" t="s">
        <v>95</v>
      </c>
      <c r="E6" s="39" t="s">
        <v>93</v>
      </c>
      <c r="F6" s="5" t="s">
        <v>96</v>
      </c>
      <c r="G6" s="5" t="s">
        <v>40</v>
      </c>
      <c r="H6" s="5"/>
      <c r="I6" s="5"/>
      <c r="J6" s="5"/>
      <c r="K6" s="5"/>
      <c r="L6" s="28" t="s">
        <v>98</v>
      </c>
      <c r="M6" s="5" t="s">
        <v>103</v>
      </c>
      <c r="N6" s="5" t="s">
        <v>97</v>
      </c>
      <c r="O6" s="30"/>
      <c r="P6" s="5" t="s">
        <v>160</v>
      </c>
      <c r="Q6" s="5"/>
      <c r="R6" s="5"/>
      <c r="S6" s="5"/>
    </row>
    <row r="7" spans="1:19" s="35" customFormat="1" ht="45" x14ac:dyDescent="0.25">
      <c r="A7" s="5">
        <v>6</v>
      </c>
      <c r="B7" s="5" t="s">
        <v>133</v>
      </c>
      <c r="C7" s="90" t="s">
        <v>112</v>
      </c>
      <c r="D7" s="31" t="s">
        <v>123</v>
      </c>
      <c r="E7" s="39" t="s">
        <v>119</v>
      </c>
      <c r="F7" s="5" t="s">
        <v>120</v>
      </c>
      <c r="G7" s="5" t="s">
        <v>40</v>
      </c>
      <c r="H7" s="5"/>
      <c r="I7" s="5"/>
      <c r="J7" s="5"/>
      <c r="K7" s="5"/>
      <c r="L7" s="28" t="s">
        <v>121</v>
      </c>
      <c r="M7" s="5" t="s">
        <v>102</v>
      </c>
      <c r="N7" s="5" t="s">
        <v>122</v>
      </c>
      <c r="O7" s="91" t="s">
        <v>141</v>
      </c>
      <c r="P7" s="5"/>
      <c r="Q7" s="5"/>
      <c r="R7" s="5"/>
      <c r="S7" s="5"/>
    </row>
    <row r="8" spans="1:19" s="35" customFormat="1" ht="45" x14ac:dyDescent="0.25">
      <c r="A8" s="5">
        <v>7</v>
      </c>
      <c r="B8" s="5" t="s">
        <v>134</v>
      </c>
      <c r="C8" s="90" t="s">
        <v>112</v>
      </c>
      <c r="D8" s="30" t="s">
        <v>118</v>
      </c>
      <c r="E8" s="39" t="s">
        <v>124</v>
      </c>
      <c r="F8" s="5" t="s">
        <v>156</v>
      </c>
      <c r="G8" s="5" t="s">
        <v>40</v>
      </c>
      <c r="H8" s="5"/>
      <c r="I8" s="5"/>
      <c r="J8" s="5"/>
      <c r="K8" s="5"/>
      <c r="L8" s="28" t="s">
        <v>125</v>
      </c>
      <c r="M8" s="5" t="s">
        <v>102</v>
      </c>
      <c r="N8" s="5" t="s">
        <v>126</v>
      </c>
      <c r="O8" s="30"/>
      <c r="P8" s="5"/>
      <c r="Q8" s="5"/>
      <c r="R8" s="5"/>
      <c r="S8" s="5"/>
    </row>
    <row r="9" spans="1:19" s="35" customFormat="1" ht="82.5" customHeight="1" x14ac:dyDescent="0.25">
      <c r="A9" s="5">
        <v>8</v>
      </c>
      <c r="B9" s="5" t="s">
        <v>134</v>
      </c>
      <c r="C9" s="90" t="s">
        <v>135</v>
      </c>
      <c r="D9" s="28" t="s">
        <v>136</v>
      </c>
      <c r="E9" s="39" t="s">
        <v>137</v>
      </c>
      <c r="F9" s="5" t="s">
        <v>138</v>
      </c>
      <c r="G9" s="5" t="s">
        <v>40</v>
      </c>
      <c r="H9" s="5"/>
      <c r="I9" s="5"/>
      <c r="J9" s="5"/>
      <c r="K9" s="5"/>
      <c r="L9" s="28" t="s">
        <v>139</v>
      </c>
      <c r="M9" s="5" t="s">
        <v>102</v>
      </c>
      <c r="N9" s="5" t="s">
        <v>140</v>
      </c>
      <c r="O9" s="30"/>
      <c r="P9" s="5"/>
      <c r="Q9" s="5"/>
      <c r="R9" s="5"/>
      <c r="S9" s="5"/>
    </row>
    <row r="10" spans="1:19" s="35" customFormat="1" ht="45" x14ac:dyDescent="0.25">
      <c r="A10" s="5">
        <v>9</v>
      </c>
      <c r="B10" s="5" t="s">
        <v>142</v>
      </c>
      <c r="C10" s="5" t="s">
        <v>143</v>
      </c>
      <c r="D10" s="4" t="s">
        <v>144</v>
      </c>
      <c r="E10" s="39" t="s">
        <v>145</v>
      </c>
      <c r="F10" s="5" t="s">
        <v>146</v>
      </c>
      <c r="G10" s="5" t="s">
        <v>40</v>
      </c>
      <c r="H10" s="5"/>
      <c r="I10" s="5"/>
      <c r="J10" s="5"/>
      <c r="K10" s="5"/>
      <c r="L10" s="28" t="s">
        <v>147</v>
      </c>
      <c r="M10" s="5" t="s">
        <v>103</v>
      </c>
      <c r="N10" s="5" t="s">
        <v>148</v>
      </c>
      <c r="O10" s="91" t="s">
        <v>149</v>
      </c>
      <c r="P10" s="5"/>
      <c r="Q10" s="5"/>
      <c r="R10" s="5"/>
      <c r="S10" s="5"/>
    </row>
    <row r="11" spans="1:19" s="35" customFormat="1" ht="60" x14ac:dyDescent="0.25">
      <c r="A11" s="5">
        <v>10</v>
      </c>
      <c r="B11" s="5" t="s">
        <v>150</v>
      </c>
      <c r="C11" s="5" t="s">
        <v>109</v>
      </c>
      <c r="D11" s="4" t="s">
        <v>151</v>
      </c>
      <c r="E11" s="39" t="s">
        <v>152</v>
      </c>
      <c r="F11" s="5" t="s">
        <v>153</v>
      </c>
      <c r="G11" s="5" t="s">
        <v>40</v>
      </c>
      <c r="H11" s="5"/>
      <c r="I11" s="5"/>
      <c r="J11" s="5"/>
      <c r="K11" s="5"/>
      <c r="L11" s="28" t="s">
        <v>154</v>
      </c>
      <c r="M11" s="5" t="s">
        <v>102</v>
      </c>
      <c r="N11" s="5" t="s">
        <v>155</v>
      </c>
      <c r="O11" s="91"/>
      <c r="P11" s="5"/>
      <c r="Q11" s="5"/>
      <c r="R11" s="5"/>
      <c r="S11" s="5"/>
    </row>
    <row r="12" spans="1:19" s="35" customFormat="1" x14ac:dyDescent="0.25">
      <c r="A12" s="5"/>
      <c r="B12" s="5"/>
      <c r="C12" s="5"/>
      <c r="D12" s="4"/>
      <c r="E12" s="39"/>
      <c r="F12" s="5"/>
      <c r="G12" s="5"/>
      <c r="H12" s="5"/>
      <c r="I12" s="5"/>
      <c r="J12" s="5"/>
      <c r="K12" s="5"/>
      <c r="L12" s="28"/>
      <c r="M12" s="5"/>
      <c r="N12" s="5"/>
      <c r="O12" s="30"/>
      <c r="P12" s="5"/>
      <c r="Q12" s="4"/>
      <c r="R12" s="4"/>
      <c r="S12" s="5"/>
    </row>
    <row r="13" spans="1:19" s="35" customFormat="1" x14ac:dyDescent="0.25">
      <c r="A13" s="5"/>
      <c r="B13" s="5"/>
      <c r="C13" s="5"/>
      <c r="D13" s="4"/>
      <c r="E13" s="39"/>
      <c r="F13" s="5"/>
      <c r="G13" s="5"/>
      <c r="H13" s="5"/>
      <c r="I13" s="5"/>
      <c r="J13" s="5"/>
      <c r="K13" s="5"/>
      <c r="L13" s="28"/>
      <c r="M13" s="5"/>
      <c r="N13" s="5"/>
      <c r="O13" s="30"/>
      <c r="P13" s="5"/>
      <c r="Q13" s="5"/>
      <c r="R13" s="5"/>
      <c r="S13" s="5"/>
    </row>
    <row r="14" spans="1:19" s="35" customFormat="1" x14ac:dyDescent="0.25">
      <c r="A14" s="5"/>
      <c r="B14" s="5"/>
      <c r="C14" s="5"/>
      <c r="D14" s="4"/>
      <c r="E14" s="39"/>
      <c r="F14" s="5"/>
      <c r="G14" s="5"/>
      <c r="H14" s="5"/>
      <c r="I14" s="5"/>
      <c r="J14" s="5"/>
      <c r="K14" s="5"/>
      <c r="L14" s="28"/>
      <c r="M14" s="5"/>
      <c r="N14" s="5"/>
      <c r="O14" s="30"/>
      <c r="P14" s="5"/>
      <c r="Q14" s="4"/>
      <c r="R14" s="4"/>
      <c r="S14" s="5"/>
    </row>
    <row r="15" spans="1:19" s="35" customFormat="1" x14ac:dyDescent="0.25">
      <c r="A15" s="5"/>
      <c r="B15" s="5"/>
      <c r="C15" s="5"/>
      <c r="D15" s="4"/>
      <c r="E15" s="39"/>
      <c r="F15" s="5"/>
      <c r="G15" s="5"/>
      <c r="H15" s="5"/>
      <c r="I15" s="5"/>
      <c r="J15" s="5"/>
      <c r="K15" s="5"/>
      <c r="L15" s="28"/>
      <c r="M15" s="5"/>
      <c r="N15" s="5"/>
      <c r="O15" s="30"/>
      <c r="P15" s="5"/>
      <c r="Q15" s="5"/>
      <c r="R15" s="5"/>
      <c r="S15" s="5"/>
    </row>
    <row r="16" spans="1:19" s="35" customFormat="1" x14ac:dyDescent="0.25">
      <c r="A16" s="5"/>
      <c r="B16" s="5"/>
      <c r="C16" s="5"/>
      <c r="D16" s="4"/>
      <c r="E16" s="41"/>
      <c r="F16" s="5"/>
      <c r="G16" s="5"/>
      <c r="H16" s="5"/>
      <c r="I16" s="5"/>
      <c r="J16" s="5"/>
      <c r="K16" s="5"/>
      <c r="L16" s="28"/>
      <c r="M16" s="5"/>
      <c r="N16" s="5"/>
      <c r="O16" s="30"/>
      <c r="P16" s="5"/>
      <c r="Q16" s="4"/>
      <c r="R16" s="4"/>
      <c r="S16" s="5"/>
    </row>
    <row r="17" spans="1:19" s="35" customFormat="1" x14ac:dyDescent="0.25">
      <c r="A17" s="5"/>
      <c r="B17" s="5"/>
      <c r="C17" s="5"/>
      <c r="D17" s="5"/>
      <c r="E17" s="5"/>
      <c r="F17" s="5"/>
      <c r="G17" s="5"/>
      <c r="H17" s="5"/>
      <c r="I17" s="5"/>
      <c r="J17" s="5"/>
      <c r="K17" s="5"/>
      <c r="L17" s="5"/>
      <c r="M17" s="5"/>
      <c r="N17" s="5"/>
      <c r="O17" s="5"/>
      <c r="P17" s="5"/>
      <c r="Q17" s="5"/>
      <c r="R17" s="5"/>
      <c r="S17" s="5"/>
    </row>
    <row r="18" spans="1:19" s="35" customFormat="1" x14ac:dyDescent="0.25">
      <c r="A18" s="5"/>
      <c r="B18" s="5"/>
      <c r="C18" s="5"/>
      <c r="D18" s="5"/>
      <c r="E18" s="5"/>
      <c r="F18" s="5"/>
      <c r="G18" s="5"/>
      <c r="H18" s="5"/>
      <c r="I18" s="5"/>
      <c r="J18" s="5"/>
      <c r="K18" s="5"/>
      <c r="L18" s="5"/>
      <c r="M18" s="5"/>
      <c r="N18" s="5"/>
      <c r="O18" s="5"/>
      <c r="P18" s="5"/>
      <c r="Q18" s="5"/>
      <c r="R18" s="5"/>
      <c r="S18" s="5"/>
    </row>
    <row r="19" spans="1:19" s="35" customFormat="1" x14ac:dyDescent="0.25">
      <c r="A19" s="5"/>
      <c r="B19" s="5"/>
      <c r="C19" s="5"/>
      <c r="D19" s="5"/>
      <c r="E19" s="5"/>
      <c r="F19" s="5"/>
      <c r="G19" s="5"/>
      <c r="H19" s="5"/>
      <c r="I19" s="5"/>
      <c r="J19" s="5"/>
      <c r="K19" s="5"/>
      <c r="L19" s="5"/>
      <c r="M19" s="5"/>
      <c r="N19" s="5"/>
      <c r="O19" s="5"/>
      <c r="P19" s="5"/>
      <c r="Q19" s="5"/>
      <c r="R19" s="5"/>
      <c r="S19" s="5"/>
    </row>
    <row r="20" spans="1:19" s="35" customFormat="1" x14ac:dyDescent="0.25">
      <c r="A20" s="5"/>
      <c r="B20" s="5"/>
      <c r="C20" s="5"/>
      <c r="D20" s="5"/>
      <c r="E20" s="5"/>
      <c r="F20" s="5"/>
      <c r="G20" s="5"/>
      <c r="H20" s="5"/>
      <c r="I20" s="5"/>
      <c r="J20" s="5"/>
      <c r="K20" s="5"/>
      <c r="L20" s="5"/>
      <c r="M20" s="5"/>
      <c r="N20" s="5"/>
      <c r="O20" s="5"/>
      <c r="P20" s="5"/>
      <c r="Q20" s="5"/>
      <c r="R20" s="5"/>
      <c r="S20" s="5"/>
    </row>
    <row r="21" spans="1:19" s="35" customFormat="1" x14ac:dyDescent="0.25">
      <c r="A21" s="5"/>
      <c r="B21" s="5"/>
      <c r="C21" s="5"/>
      <c r="D21" s="5"/>
      <c r="E21" s="5"/>
      <c r="F21" s="5"/>
      <c r="G21" s="5"/>
      <c r="H21" s="5"/>
      <c r="I21" s="5"/>
      <c r="J21" s="5"/>
      <c r="K21" s="5"/>
      <c r="L21" s="5"/>
      <c r="M21" s="5"/>
      <c r="N21" s="5"/>
      <c r="O21" s="5"/>
      <c r="P21" s="5"/>
      <c r="Q21" s="5"/>
      <c r="R21" s="5"/>
      <c r="S21" s="5"/>
    </row>
    <row r="22" spans="1:19" s="35" customFormat="1" x14ac:dyDescent="0.25">
      <c r="A22" s="5"/>
      <c r="B22" s="5"/>
      <c r="C22" s="5"/>
      <c r="D22" s="5"/>
      <c r="E22" s="5"/>
      <c r="F22" s="5"/>
      <c r="G22" s="5"/>
      <c r="H22" s="5"/>
      <c r="I22" s="5"/>
      <c r="J22" s="5"/>
      <c r="K22" s="5"/>
      <c r="L22" s="5"/>
      <c r="M22" s="5"/>
      <c r="N22" s="5"/>
      <c r="O22" s="5"/>
      <c r="P22" s="5"/>
      <c r="Q22" s="5"/>
      <c r="R22" s="5"/>
      <c r="S22" s="5"/>
    </row>
    <row r="23" spans="1:19" s="35" customFormat="1" x14ac:dyDescent="0.25">
      <c r="A23" s="5"/>
      <c r="B23" s="5"/>
      <c r="C23" s="5"/>
      <c r="D23" s="5"/>
      <c r="E23" s="5"/>
      <c r="F23" s="5"/>
      <c r="G23" s="5"/>
      <c r="H23" s="5"/>
      <c r="I23" s="5"/>
      <c r="J23" s="5"/>
      <c r="K23" s="5"/>
      <c r="L23" s="5"/>
      <c r="M23" s="5"/>
      <c r="N23" s="5"/>
      <c r="O23" s="5"/>
      <c r="P23" s="5"/>
      <c r="Q23" s="5"/>
      <c r="R23" s="5"/>
      <c r="S23" s="5"/>
    </row>
    <row r="24" spans="1:19" s="35" customFormat="1" x14ac:dyDescent="0.25">
      <c r="A24" s="5"/>
      <c r="B24" s="5"/>
      <c r="C24" s="5"/>
      <c r="D24" s="5"/>
      <c r="E24" s="5"/>
      <c r="F24" s="5"/>
      <c r="G24" s="5"/>
      <c r="H24" s="5"/>
      <c r="I24" s="5"/>
      <c r="J24" s="5"/>
      <c r="K24" s="5"/>
      <c r="L24" s="5"/>
      <c r="M24" s="5"/>
      <c r="N24" s="5"/>
      <c r="O24" s="5"/>
      <c r="P24" s="5"/>
      <c r="Q24" s="5"/>
      <c r="R24" s="5"/>
      <c r="S24" s="5"/>
    </row>
    <row r="25" spans="1:19" s="35" customFormat="1" x14ac:dyDescent="0.25">
      <c r="A25" s="5"/>
      <c r="B25" s="5"/>
      <c r="C25" s="5"/>
      <c r="D25" s="5"/>
      <c r="E25" s="5"/>
      <c r="F25" s="5"/>
      <c r="G25" s="5"/>
      <c r="H25" s="5"/>
      <c r="I25" s="5"/>
      <c r="J25" s="5"/>
      <c r="K25" s="5"/>
      <c r="L25" s="5"/>
      <c r="M25" s="5"/>
      <c r="N25" s="5"/>
      <c r="O25" s="5"/>
      <c r="P25" s="5"/>
      <c r="Q25" s="5"/>
      <c r="R25" s="5"/>
      <c r="S25" s="5"/>
    </row>
    <row r="26" spans="1:19" s="35" customFormat="1" x14ac:dyDescent="0.25">
      <c r="A26" s="5"/>
      <c r="B26" s="5"/>
      <c r="C26" s="5"/>
      <c r="D26" s="5"/>
      <c r="E26" s="5"/>
      <c r="F26" s="5"/>
      <c r="G26" s="5"/>
      <c r="H26" s="5"/>
      <c r="I26" s="5"/>
      <c r="J26" s="5"/>
      <c r="K26" s="5"/>
      <c r="L26" s="5"/>
      <c r="M26" s="5"/>
      <c r="N26" s="5"/>
      <c r="O26" s="5"/>
      <c r="P26" s="5"/>
      <c r="Q26" s="5"/>
      <c r="R26" s="5"/>
      <c r="S26" s="5"/>
    </row>
    <row r="27" spans="1:19" s="35" customFormat="1" x14ac:dyDescent="0.25">
      <c r="A27" s="5"/>
      <c r="B27" s="5"/>
      <c r="C27" s="5"/>
      <c r="D27" s="5"/>
      <c r="E27" s="5"/>
      <c r="F27" s="5"/>
      <c r="G27" s="5"/>
      <c r="H27" s="5"/>
      <c r="I27" s="5"/>
      <c r="J27" s="5"/>
      <c r="K27" s="5"/>
      <c r="L27" s="5"/>
      <c r="M27" s="5"/>
      <c r="N27" s="5"/>
      <c r="O27" s="5"/>
      <c r="P27" s="5"/>
      <c r="Q27" s="5"/>
      <c r="R27" s="5"/>
      <c r="S27" s="5"/>
    </row>
    <row r="28" spans="1:19" s="35" customFormat="1" x14ac:dyDescent="0.25">
      <c r="A28" s="5"/>
      <c r="B28" s="5"/>
      <c r="C28" s="5"/>
      <c r="D28" s="5"/>
      <c r="E28" s="5"/>
      <c r="F28" s="5"/>
      <c r="G28" s="5"/>
      <c r="H28" s="5"/>
      <c r="I28" s="5"/>
      <c r="J28" s="5"/>
      <c r="K28" s="5"/>
      <c r="L28" s="5"/>
      <c r="M28" s="5"/>
      <c r="N28" s="5"/>
      <c r="O28" s="5"/>
      <c r="P28" s="5"/>
      <c r="Q28" s="5"/>
      <c r="R28" s="5"/>
      <c r="S28" s="5"/>
    </row>
    <row r="29" spans="1:19" s="35" customFormat="1" x14ac:dyDescent="0.25">
      <c r="A29" s="5"/>
      <c r="B29" s="5"/>
      <c r="C29" s="5"/>
      <c r="D29" s="5"/>
      <c r="E29" s="5"/>
      <c r="F29" s="5"/>
      <c r="G29" s="5"/>
      <c r="H29" s="5"/>
      <c r="I29" s="5"/>
      <c r="J29" s="5"/>
      <c r="K29" s="5"/>
      <c r="L29" s="5"/>
      <c r="M29" s="5"/>
      <c r="N29" s="5"/>
      <c r="O29" s="5"/>
      <c r="P29" s="5"/>
      <c r="Q29" s="5"/>
      <c r="R29" s="5"/>
      <c r="S29" s="5"/>
    </row>
    <row r="30" spans="1:19" s="35" customFormat="1" x14ac:dyDescent="0.25">
      <c r="A30" s="5"/>
      <c r="B30" s="5"/>
      <c r="C30" s="5"/>
      <c r="D30" s="5"/>
      <c r="E30" s="5"/>
      <c r="F30" s="5"/>
      <c r="G30" s="5"/>
      <c r="H30" s="5"/>
      <c r="I30" s="5"/>
      <c r="J30" s="5"/>
      <c r="K30" s="5"/>
      <c r="L30" s="5"/>
      <c r="M30" s="5"/>
      <c r="N30" s="5"/>
      <c r="O30" s="5"/>
      <c r="P30" s="5"/>
      <c r="Q30" s="5"/>
      <c r="R30" s="5"/>
      <c r="S30" s="5"/>
    </row>
    <row r="31" spans="1:19" s="34" customFormat="1" x14ac:dyDescent="0.25"/>
    <row r="32" spans="1:19" s="34" customFormat="1" x14ac:dyDescent="0.25"/>
    <row r="33" s="34" customFormat="1" x14ac:dyDescent="0.25"/>
    <row r="34" s="34" customFormat="1" x14ac:dyDescent="0.25"/>
    <row r="35" s="34" customFormat="1" x14ac:dyDescent="0.25"/>
    <row r="36" s="34" customFormat="1" x14ac:dyDescent="0.25"/>
    <row r="37" s="34" customFormat="1" x14ac:dyDescent="0.25"/>
    <row r="38" s="34" customFormat="1" x14ac:dyDescent="0.25"/>
    <row r="39" s="34" customFormat="1" x14ac:dyDescent="0.25"/>
    <row r="40" s="34" customFormat="1" x14ac:dyDescent="0.25"/>
  </sheetData>
  <pageMargins left="0.7" right="0.7" top="0.75" bottom="0.75" header="0.3" footer="0.3"/>
  <pageSetup orientation="portrait" horizontalDpi="120" verticalDpi="72"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'TREND KASUS'!$B$8:$B$18</xm:f>
          </x14:formula1>
          <xm:sqref>G2:K40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70" zoomScaleNormal="70" workbookViewId="0">
      <selection activeCell="M8" sqref="M8"/>
    </sheetView>
  </sheetViews>
  <sheetFormatPr defaultRowHeight="15" x14ac:dyDescent="0.25"/>
  <cols>
    <col min="1" max="1" width="5.7109375" customWidth="1"/>
    <col min="2" max="2" width="23.7109375" customWidth="1"/>
    <col min="3" max="3" width="20.7109375" customWidth="1"/>
    <col min="4" max="4" width="10.85546875" style="46" customWidth="1"/>
    <col min="5" max="5" width="37.140625" style="45" customWidth="1"/>
    <col min="6" max="6" width="14.85546875" bestFit="1" customWidth="1"/>
    <col min="7" max="7" width="13.42578125" customWidth="1"/>
    <col min="8" max="8" width="30.140625" customWidth="1"/>
    <col min="9" max="9" width="47.5703125" customWidth="1"/>
    <col min="10" max="10" width="9.140625" hidden="1" customWidth="1"/>
    <col min="11" max="11" width="26.140625" style="53" customWidth="1"/>
  </cols>
  <sheetData>
    <row r="1" spans="1:11" x14ac:dyDescent="0.25">
      <c r="A1" s="94" t="s">
        <v>11</v>
      </c>
      <c r="B1" s="94"/>
      <c r="C1" s="94"/>
      <c r="D1" s="94"/>
      <c r="E1" s="94"/>
      <c r="F1" s="94"/>
      <c r="G1" s="94"/>
      <c r="H1" s="94"/>
      <c r="I1" s="94"/>
    </row>
    <row r="2" spans="1:11" x14ac:dyDescent="0.25">
      <c r="A2" s="94" t="s">
        <v>101</v>
      </c>
      <c r="B2" s="94"/>
      <c r="C2" s="94"/>
      <c r="D2" s="94"/>
      <c r="E2" s="94"/>
      <c r="F2" s="94"/>
      <c r="G2" s="94"/>
      <c r="H2" s="94"/>
      <c r="I2" s="94"/>
    </row>
    <row r="4" spans="1:11" ht="15" customHeight="1" x14ac:dyDescent="0.25">
      <c r="A4" s="92" t="s">
        <v>0</v>
      </c>
      <c r="B4" s="98" t="s">
        <v>1</v>
      </c>
      <c r="C4" s="98" t="s">
        <v>2</v>
      </c>
      <c r="D4" s="100" t="s">
        <v>9</v>
      </c>
      <c r="E4" s="101"/>
      <c r="F4" s="95" t="s">
        <v>3</v>
      </c>
      <c r="G4" s="96"/>
      <c r="H4" s="97"/>
      <c r="I4" s="92" t="s">
        <v>7</v>
      </c>
      <c r="J4" s="3"/>
      <c r="K4" s="92" t="s">
        <v>16</v>
      </c>
    </row>
    <row r="5" spans="1:11" x14ac:dyDescent="0.25">
      <c r="A5" s="93"/>
      <c r="B5" s="99"/>
      <c r="C5" s="99"/>
      <c r="D5" s="102"/>
      <c r="E5" s="103"/>
      <c r="F5" s="6" t="s">
        <v>4</v>
      </c>
      <c r="G5" s="6" t="s">
        <v>5</v>
      </c>
      <c r="H5" s="6" t="s">
        <v>6</v>
      </c>
      <c r="I5" s="93"/>
      <c r="K5" s="93"/>
    </row>
    <row r="6" spans="1:11" ht="113.25" customHeight="1" x14ac:dyDescent="0.25">
      <c r="A6" s="30">
        <v>1</v>
      </c>
      <c r="B6" s="106" t="str">
        <f>ENTRY!B2</f>
        <v>01/MAMASA/I/2024</v>
      </c>
      <c r="C6" s="104" t="str">
        <f>ENTRY!D2</f>
        <v>25 Januari 2024</v>
      </c>
      <c r="D6" s="42" t="s">
        <v>72</v>
      </c>
      <c r="E6" s="39" t="str">
        <f>ENTRY!E2</f>
        <v xml:space="preserve">Lusiana, Dkk.      </v>
      </c>
      <c r="F6" s="106" t="str">
        <f>ENTRY!M2</f>
        <v>Tanah Negara</v>
      </c>
      <c r="G6" s="104" t="str">
        <f>ENTRY!O2</f>
        <v xml:space="preserve">1731 M² </v>
      </c>
      <c r="H6" s="108" t="str">
        <f>ENTRY!N2</f>
        <v>Desa Salukonta, Kecamatan Tawalian, Kabupaten Mamasa, Provinsi Sulawesi Barat</v>
      </c>
      <c r="I6" s="108" t="str">
        <f>ENTRY!L2</f>
        <v>Dengan adanya pengajuan sertipikat Atas Nama Nurhayati dan Ajis Muis yang terletak di Ulumea, Desa Salukonta agar tidak menerbitkan sertipikat. Karena tanah tersebut tanah adat/warisan yang tidak diperjualbelikan atau dipindahtangankan</v>
      </c>
      <c r="J6" s="32" t="s">
        <v>8</v>
      </c>
      <c r="K6" s="108" t="str">
        <f>ENTRY!Q2</f>
        <v>Kaukus dan Surat Balasan</v>
      </c>
    </row>
    <row r="7" spans="1:11" x14ac:dyDescent="0.25">
      <c r="A7" s="51"/>
      <c r="B7" s="107"/>
      <c r="C7" s="105"/>
      <c r="D7" s="43" t="s">
        <v>73</v>
      </c>
      <c r="E7" s="40" t="str">
        <f>ENTRY!F2</f>
        <v>Nurhayati dan Ajis Muis</v>
      </c>
      <c r="F7" s="107"/>
      <c r="G7" s="105"/>
      <c r="H7" s="109"/>
      <c r="I7" s="109"/>
      <c r="J7" s="32"/>
      <c r="K7" s="109"/>
    </row>
    <row r="8" spans="1:11" ht="76.5" customHeight="1" x14ac:dyDescent="0.25">
      <c r="A8" s="30">
        <v>2</v>
      </c>
      <c r="B8" s="106" t="str">
        <f>ENTRY!B3</f>
        <v>02/MAMASA/III/2024</v>
      </c>
      <c r="C8" s="104" t="str">
        <f>ENTRY!D3</f>
        <v>03 Maret 2024</v>
      </c>
      <c r="D8" s="42" t="s">
        <v>72</v>
      </c>
      <c r="E8" s="39" t="str">
        <f>ENTRY!E3</f>
        <v xml:space="preserve">Arruan Lempan                               </v>
      </c>
      <c r="F8" s="106" t="str">
        <f>ENTRY!M3</f>
        <v>Tanah Negara</v>
      </c>
      <c r="G8" s="104">
        <f>ENTRY!O3</f>
        <v>0</v>
      </c>
      <c r="H8" s="108" t="str">
        <f>ENTRY!N3</f>
        <v>Desa Salurano, Kecamatan Tanduk Kalua, Kabupaten Mamasa, Provinsi Sulawesi Barat</v>
      </c>
      <c r="I8" s="108" t="str">
        <f>ENTRY!L3</f>
        <v>Dengan adanya permohonan penerbitan Surat Hak Milik (Sertipikat) atas tanah yang terletak di Kampung Salurano, Kec. Tandukkalua atas nama Selfanus Idrus</v>
      </c>
      <c r="J8" s="32" t="s">
        <v>10</v>
      </c>
      <c r="K8" s="108" t="str">
        <f>ENTRY!Q3</f>
        <v>Tahapan Penanganan Permen ATR No. 21 Tahun 2020</v>
      </c>
    </row>
    <row r="9" spans="1:11" x14ac:dyDescent="0.25">
      <c r="A9" s="51"/>
      <c r="B9" s="107"/>
      <c r="C9" s="105"/>
      <c r="D9" s="43" t="s">
        <v>73</v>
      </c>
      <c r="E9" s="40" t="str">
        <f>ENTRY!F3</f>
        <v>Selfanus Idrus</v>
      </c>
      <c r="F9" s="107"/>
      <c r="G9" s="105"/>
      <c r="H9" s="109"/>
      <c r="I9" s="109"/>
      <c r="J9" s="32"/>
      <c r="K9" s="109"/>
    </row>
    <row r="10" spans="1:11" ht="66" customHeight="1" x14ac:dyDescent="0.25">
      <c r="A10" s="30">
        <v>3</v>
      </c>
      <c r="B10" s="106" t="str">
        <f>ENTRY!B4</f>
        <v>03/MAMASA/III/2024</v>
      </c>
      <c r="C10" s="104" t="str">
        <f>ENTRY!D4</f>
        <v>18 Maret 2024</v>
      </c>
      <c r="D10" s="42" t="s">
        <v>72</v>
      </c>
      <c r="E10" s="39" t="str">
        <f>ENTRY!E4</f>
        <v xml:space="preserve">Samuel Sude dan Arnice           </v>
      </c>
      <c r="F10" s="106" t="str">
        <f>ENTRY!M4</f>
        <v>Tanah Negara</v>
      </c>
      <c r="G10" s="104">
        <f>ENTRY!O4</f>
        <v>0</v>
      </c>
      <c r="H10" s="108" t="str">
        <f>ENTRY!N4</f>
        <v>To'Barana, Desa Parondobulawan, Kecamatan Tandukkalua, Kabupaten Mamasa, Provinsi Sulawesi Barat.</v>
      </c>
      <c r="I10" s="108" t="str">
        <f>ENTRY!L4</f>
        <v>Pendaftaran bidang tanah/sertipikat Atas Nama Arnice pada bulan februari 2024 yang mendapat pencegahan/keberatan dari Demmanggaya Manggetan dengan dalih/alasan bahwa tanah/lahan hak milik yang bersangkutan</v>
      </c>
      <c r="J10" s="32" t="s">
        <v>13</v>
      </c>
      <c r="K10" s="108" t="str">
        <f>ENTRY!Q4</f>
        <v>Penyelesaian oleh Kepala Desa</v>
      </c>
    </row>
    <row r="11" spans="1:11" x14ac:dyDescent="0.25">
      <c r="A11" s="51"/>
      <c r="B11" s="107"/>
      <c r="C11" s="105"/>
      <c r="D11" s="43" t="s">
        <v>73</v>
      </c>
      <c r="E11" s="40" t="str">
        <f>ENTRY!F4</f>
        <v>Demmanggaya Manggetan</v>
      </c>
      <c r="F11" s="107"/>
      <c r="G11" s="105"/>
      <c r="H11" s="109"/>
      <c r="I11" s="109"/>
      <c r="J11" s="32"/>
      <c r="K11" s="109"/>
    </row>
    <row r="12" spans="1:11" ht="108" customHeight="1" x14ac:dyDescent="0.25">
      <c r="A12" s="28">
        <v>4</v>
      </c>
      <c r="B12" s="106" t="str">
        <f>ENTRY!B5</f>
        <v>04/MAMASA/IV/2024</v>
      </c>
      <c r="C12" s="104" t="str">
        <f>ENTRY!D5</f>
        <v>23 April 2024</v>
      </c>
      <c r="D12" s="42" t="s">
        <v>72</v>
      </c>
      <c r="E12" s="39" t="str">
        <f>ENTRY!E5</f>
        <v xml:space="preserve">Selfanus Idrus Goalangi </v>
      </c>
      <c r="F12" s="106" t="str">
        <f>ENTRY!M5</f>
        <v>Tanah Negara</v>
      </c>
      <c r="G12" s="104">
        <f>ENTRY!O5</f>
        <v>0</v>
      </c>
      <c r="H12" s="108" t="str">
        <f>ENTRY!N5</f>
        <v>Mekalia, Desa Salurano, Kecamatan Tandukkalua, Kabupaten Mamasa, Provinsi Sulawesi Barat.</v>
      </c>
      <c r="I12" s="108" t="str">
        <f>ENTRY!L5</f>
        <v>Penangguhan penerbitan atas nama Ponggalunggu ataupun Langi'Kampun</v>
      </c>
      <c r="J12" s="32" t="s">
        <v>12</v>
      </c>
      <c r="K12" s="108" t="str">
        <f>ENTRY!Q5</f>
        <v>Tahapan Penanganan Permen ATR No. 21 Tahun 2020</v>
      </c>
    </row>
    <row r="13" spans="1:11" x14ac:dyDescent="0.25">
      <c r="A13" s="52"/>
      <c r="B13" s="107"/>
      <c r="C13" s="105"/>
      <c r="D13" s="43" t="s">
        <v>73</v>
      </c>
      <c r="E13" s="40" t="str">
        <f>ENTRY!F5</f>
        <v>Ponggalunggu &amp; Langi'Kampun</v>
      </c>
      <c r="F13" s="107"/>
      <c r="G13" s="105"/>
      <c r="H13" s="109"/>
      <c r="I13" s="109"/>
      <c r="J13" s="32"/>
      <c r="K13" s="109"/>
    </row>
    <row r="14" spans="1:11" ht="38.25" customHeight="1" x14ac:dyDescent="0.25">
      <c r="A14" s="30">
        <v>5</v>
      </c>
      <c r="B14" s="106" t="str">
        <f>ENTRY!B6</f>
        <v>05/MAMASA/IV/2024</v>
      </c>
      <c r="C14" s="110" t="str">
        <f>ENTRY!D6</f>
        <v>29 April 2024</v>
      </c>
      <c r="D14" s="42" t="s">
        <v>72</v>
      </c>
      <c r="E14" s="39" t="str">
        <f>ENTRY!E6</f>
        <v xml:space="preserve">Nasrullah                           </v>
      </c>
      <c r="F14" s="106" t="str">
        <f>ENTRY!M6</f>
        <v>SHM</v>
      </c>
      <c r="G14" s="104">
        <f>ENTRY!O6</f>
        <v>0</v>
      </c>
      <c r="H14" s="108" t="str">
        <f>ENTRY!N6</f>
        <v>Desa Saluahok, Kecamatan Mehalaan, Kabupaten Mamasa, Provinsi Sulawesi Barat.</v>
      </c>
      <c r="I14" s="108" t="str">
        <f>ENTRY!L6</f>
        <v>Keberatan atas terbitnya sertipikat tanah dengan nomor : 31.01.16.07.01.08181 atas nama Najamuddin</v>
      </c>
      <c r="J14" s="25" t="s">
        <v>14</v>
      </c>
      <c r="K14" s="108">
        <f>ENTRY!Q6</f>
        <v>0</v>
      </c>
    </row>
    <row r="15" spans="1:11" x14ac:dyDescent="0.25">
      <c r="A15" s="51"/>
      <c r="B15" s="107"/>
      <c r="C15" s="111"/>
      <c r="D15" s="43" t="s">
        <v>73</v>
      </c>
      <c r="E15" s="40" t="str">
        <f>ENTRY!F6</f>
        <v>Najamuddin</v>
      </c>
      <c r="F15" s="107"/>
      <c r="G15" s="105"/>
      <c r="H15" s="109"/>
      <c r="I15" s="109"/>
      <c r="J15" s="32"/>
      <c r="K15" s="109"/>
    </row>
    <row r="16" spans="1:11" ht="80.25" customHeight="1" x14ac:dyDescent="0.25">
      <c r="A16" s="30">
        <v>6</v>
      </c>
      <c r="B16" s="106" t="str">
        <f>ENTRY!B7</f>
        <v>06/MAMASA/V/2024</v>
      </c>
      <c r="C16" s="110" t="str">
        <f>ENTRY!D7</f>
        <v>21 Mei 2024</v>
      </c>
      <c r="D16" s="42" t="s">
        <v>72</v>
      </c>
      <c r="E16" s="39" t="str">
        <f>ENTRY!E7</f>
        <v>Deppasulle Arruan Linggi</v>
      </c>
      <c r="F16" s="106" t="str">
        <f>ENTRY!M7</f>
        <v>Tanah Negara</v>
      </c>
      <c r="G16" s="104" t="str">
        <f>ENTRY!O7</f>
        <v>± 2 Ha</v>
      </c>
      <c r="H16" s="108" t="str">
        <f>ENTRY!N7</f>
        <v>Desa Kanan, Kecamatan Tandukkalua, Kabupaten Mamasa, Provinsi Sulawesi Barat.</v>
      </c>
      <c r="I16" s="108" t="str">
        <f>ENTRY!L7</f>
        <v>Pencegahan agar tidak melayani pengukuran tanah atau penerbitan sertipikat tanah oleh pihak manapun, terkhusus Sdr. Daen Malewa &amp; Sdr. Deppasulle alias Sulle</v>
      </c>
      <c r="J16" s="32" t="s">
        <v>15</v>
      </c>
      <c r="K16" s="108">
        <f>ENTRY!Q7</f>
        <v>0</v>
      </c>
    </row>
    <row r="17" spans="1:11" x14ac:dyDescent="0.25">
      <c r="A17" s="51"/>
      <c r="B17" s="107"/>
      <c r="C17" s="111"/>
      <c r="D17" s="43" t="s">
        <v>73</v>
      </c>
      <c r="E17" s="40" t="str">
        <f>ENTRY!F7</f>
        <v>Daen Malewa &amp; Deppasulle alias Sulle</v>
      </c>
      <c r="F17" s="107"/>
      <c r="G17" s="105"/>
      <c r="H17" s="109"/>
      <c r="I17" s="109"/>
      <c r="J17" s="32"/>
      <c r="K17" s="109"/>
    </row>
    <row r="18" spans="1:11" ht="62.25" customHeight="1" x14ac:dyDescent="0.25">
      <c r="A18" s="55">
        <v>7</v>
      </c>
      <c r="B18" s="106" t="str">
        <f>ENTRY!B8</f>
        <v>07/MAMASA/V/2024</v>
      </c>
      <c r="C18" s="104" t="str">
        <f>ENTRY!D8</f>
        <v>30 Mei 2024</v>
      </c>
      <c r="D18" s="42" t="s">
        <v>72</v>
      </c>
      <c r="E18" s="39" t="str">
        <f>ENTRY!E8</f>
        <v>Paonganan</v>
      </c>
      <c r="F18" s="106" t="str">
        <f>ENTRY!M8</f>
        <v>Tanah Negara</v>
      </c>
      <c r="G18" s="104">
        <f>ENTRY!O8</f>
        <v>0</v>
      </c>
      <c r="H18" s="108" t="str">
        <f>ENTRY!N8</f>
        <v>Dusun Kumbang, Desa Taupe, Kecamatan Mamasa, Kabupaten Mamasa, Provinsi Sulawesi Barat.</v>
      </c>
      <c r="I18" s="108" t="str">
        <f>ENTRY!L8</f>
        <v>Sehubung dilaksanakan pengukuran tanah atas nama Petrus oleh tim BPN Mamasa, maka kami keberatan pengukuran dan pembatalan sertipikat hak milik atas nama Petrus</v>
      </c>
      <c r="J18" s="29"/>
      <c r="K18" s="108">
        <f>ENTRY!Q8</f>
        <v>0</v>
      </c>
    </row>
    <row r="19" spans="1:11" x14ac:dyDescent="0.25">
      <c r="A19" s="62"/>
      <c r="B19" s="107"/>
      <c r="C19" s="105"/>
      <c r="D19" s="43" t="s">
        <v>73</v>
      </c>
      <c r="E19" s="40" t="str">
        <f>ENTRY!F8</f>
        <v>Petrus, Limbong Gayang</v>
      </c>
      <c r="F19" s="107"/>
      <c r="G19" s="105"/>
      <c r="H19" s="109"/>
      <c r="I19" s="109"/>
      <c r="J19" s="33"/>
      <c r="K19" s="109"/>
    </row>
    <row r="20" spans="1:11" ht="45" customHeight="1" x14ac:dyDescent="0.25">
      <c r="A20" s="56">
        <v>8</v>
      </c>
      <c r="B20" s="106" t="str">
        <f>ENTRY!B9</f>
        <v>07/MAMASA/V/2024</v>
      </c>
      <c r="C20" s="104" t="str">
        <f>ENTRY!D9</f>
        <v>23 Juni 2024</v>
      </c>
      <c r="D20" s="42" t="s">
        <v>72</v>
      </c>
      <c r="E20" s="39" t="str">
        <f>ENTRY!E9</f>
        <v>Bongga Malillin, Dkk</v>
      </c>
      <c r="F20" s="61" t="str">
        <f>ENTRY!M9</f>
        <v>Tanah Negara</v>
      </c>
      <c r="G20" s="30">
        <f>ENTRY!O9</f>
        <v>0</v>
      </c>
      <c r="H20" s="28" t="str">
        <f>ENTRY!N9</f>
        <v>Dusun Rantesepang Desa Malabo Kecamatan Tandukkalua Kabupaten Mamasa</v>
      </c>
      <c r="I20" s="28" t="str">
        <f>ENTRY!L9</f>
        <v>Penundaan Pengukuran Lahan An Pattakarua, Marlina, Daud, Harlis Pranata, Abner, Rosdawati, Natalia dengan alasan tanah tersebut seharusnya di bagi dua berdasarkan silsilah keluarga, yaitu Rumpun Keluarga ARRUAN BANGA dan LIMBO SILOMBA</v>
      </c>
      <c r="J20" s="33"/>
      <c r="K20" s="108">
        <f>ENTRY!Q9</f>
        <v>0</v>
      </c>
    </row>
    <row r="21" spans="1:11" ht="30" x14ac:dyDescent="0.25">
      <c r="A21" s="63"/>
      <c r="B21" s="107"/>
      <c r="C21" s="105"/>
      <c r="D21" s="43" t="s">
        <v>73</v>
      </c>
      <c r="E21" s="40" t="str">
        <f>ENTRY!F9</f>
        <v>Pattakarua, Marlina, Daud, Harlis Pranata, Abner, Rosdawati &amp; Natalia</v>
      </c>
      <c r="F21" s="52"/>
      <c r="G21" s="51"/>
      <c r="H21" s="52"/>
      <c r="I21" s="52"/>
      <c r="J21" s="33"/>
      <c r="K21" s="109"/>
    </row>
    <row r="22" spans="1:11" ht="81" customHeight="1" x14ac:dyDescent="0.25">
      <c r="A22" s="30">
        <v>9</v>
      </c>
      <c r="B22" s="106" t="str">
        <f>ENTRY!B10</f>
        <v>08/MAMASA/VII/2024</v>
      </c>
      <c r="C22" s="104" t="str">
        <f>ENTRY!D10</f>
        <v>01 Juli 2024</v>
      </c>
      <c r="D22" s="42" t="s">
        <v>72</v>
      </c>
      <c r="E22" s="39" t="str">
        <f>ENTRY!E10</f>
        <v>Levinus</v>
      </c>
      <c r="F22" s="106" t="str">
        <f>ENTRY!M10</f>
        <v>SHM</v>
      </c>
      <c r="G22" s="104" t="str">
        <f>ENTRY!O10</f>
        <v>±2911 M²</v>
      </c>
      <c r="H22" s="108" t="str">
        <f>ENTRY!N10</f>
        <v>Desa Rantekamase Kecamatan Sumarorong Kabupaten Mamasa Provinsi Sulawesi Barat</v>
      </c>
      <c r="I22" s="108" t="str">
        <f>ENTRY!L10</f>
        <v xml:space="preserve">Pencegahan/Keberatan pengukuran ulang  tanah yang ada di Desa Rantekamase Kec.Sumarorong dari Bpk Dominggus, karena tanah tersebut milik Bpk Levinus </v>
      </c>
      <c r="J22" s="2"/>
      <c r="K22" s="108">
        <f>ENTRY!Q10</f>
        <v>0</v>
      </c>
    </row>
    <row r="23" spans="1:11" x14ac:dyDescent="0.25">
      <c r="A23" s="51"/>
      <c r="B23" s="107"/>
      <c r="C23" s="105"/>
      <c r="D23" s="43" t="s">
        <v>73</v>
      </c>
      <c r="E23" s="40" t="str">
        <f>ENTRY!F10</f>
        <v>Dominggus</v>
      </c>
      <c r="F23" s="107"/>
      <c r="G23" s="105"/>
      <c r="H23" s="109"/>
      <c r="I23" s="109"/>
      <c r="J23" s="2"/>
      <c r="K23" s="109"/>
    </row>
    <row r="24" spans="1:11" ht="104.25" customHeight="1" x14ac:dyDescent="0.25">
      <c r="A24" s="30">
        <v>10</v>
      </c>
      <c r="B24" s="106" t="str">
        <f>ENTRY!B11</f>
        <v>09/MAMASA/VII/2024</v>
      </c>
      <c r="C24" s="104" t="str">
        <f>ENTRY!D11</f>
        <v>02 Juli 2024</v>
      </c>
      <c r="D24" s="42" t="s">
        <v>72</v>
      </c>
      <c r="E24" s="39" t="str">
        <f>ENTRY!E11</f>
        <v>Deppabala</v>
      </c>
      <c r="F24" s="106" t="str">
        <f>ENTRY!M11</f>
        <v>Tanah Negara</v>
      </c>
      <c r="G24" s="104">
        <f>ENTRY!O11</f>
        <v>0</v>
      </c>
      <c r="H24" s="108" t="str">
        <f>ENTRY!N11</f>
        <v>Dusun Orang Desa Malabo Kecamatan Tandukkalua Kabupaten Mamasa Provinsi Sulawesi Barat</v>
      </c>
      <c r="I24" s="108" t="str">
        <f>ENTRY!L11</f>
        <v>Pencegahan Pengukuran dan Penerbitan Sertipikat Tanah di Dusun Orong Desa Malabo, Kec.Tandukkalua, karena tanah(sawah) tersebut merupakan jaminan utang piutang antara Deppabala dan Arruan Paillin</v>
      </c>
      <c r="J24" s="2"/>
      <c r="K24" s="108">
        <f>ENTRY!Q11</f>
        <v>0</v>
      </c>
    </row>
    <row r="25" spans="1:11" x14ac:dyDescent="0.25">
      <c r="A25" s="51"/>
      <c r="B25" s="107"/>
      <c r="C25" s="105"/>
      <c r="D25" s="43" t="s">
        <v>73</v>
      </c>
      <c r="E25" s="40" t="str">
        <f>ENTRY!F11</f>
        <v>Arruan Paillin</v>
      </c>
      <c r="F25" s="107"/>
      <c r="G25" s="105"/>
      <c r="H25" s="109"/>
      <c r="I25" s="109"/>
      <c r="J25" s="2"/>
      <c r="K25" s="109"/>
    </row>
    <row r="26" spans="1:11" ht="45" customHeight="1" x14ac:dyDescent="0.25">
      <c r="A26" s="30">
        <v>11</v>
      </c>
      <c r="B26" s="106">
        <f>ENTRY!B12</f>
        <v>0</v>
      </c>
      <c r="C26" s="104">
        <f>ENTRY!D12</f>
        <v>0</v>
      </c>
      <c r="D26" s="42" t="s">
        <v>72</v>
      </c>
      <c r="E26" s="39">
        <f>ENTRY!E12</f>
        <v>0</v>
      </c>
      <c r="F26" s="106">
        <f>ENTRY!M12</f>
        <v>0</v>
      </c>
      <c r="G26" s="104">
        <f>ENTRY!O12</f>
        <v>0</v>
      </c>
      <c r="H26" s="108">
        <f>ENTRY!N12</f>
        <v>0</v>
      </c>
      <c r="I26" s="108">
        <f>ENTRY!L12</f>
        <v>0</v>
      </c>
      <c r="J26" s="2"/>
      <c r="K26" s="108">
        <f>ENTRY!Q12</f>
        <v>0</v>
      </c>
    </row>
    <row r="27" spans="1:11" x14ac:dyDescent="0.25">
      <c r="A27" s="51"/>
      <c r="B27" s="107"/>
      <c r="C27" s="105"/>
      <c r="D27" s="43" t="s">
        <v>73</v>
      </c>
      <c r="E27" s="40">
        <f>ENTRY!F12</f>
        <v>0</v>
      </c>
      <c r="F27" s="107"/>
      <c r="G27" s="105"/>
      <c r="H27" s="109"/>
      <c r="I27" s="109"/>
      <c r="J27" s="2"/>
      <c r="K27" s="109"/>
    </row>
    <row r="28" spans="1:11" ht="45.75" customHeight="1" x14ac:dyDescent="0.25">
      <c r="A28" s="30">
        <v>12</v>
      </c>
      <c r="B28" s="106">
        <f>ENTRY!B13</f>
        <v>0</v>
      </c>
      <c r="C28" s="104">
        <f>ENTRY!D13</f>
        <v>0</v>
      </c>
      <c r="D28" s="42" t="s">
        <v>72</v>
      </c>
      <c r="E28" s="39">
        <f>ENTRY!E13</f>
        <v>0</v>
      </c>
      <c r="F28" s="106">
        <f>ENTRY!M13</f>
        <v>0</v>
      </c>
      <c r="G28" s="104">
        <f>ENTRY!O13</f>
        <v>0</v>
      </c>
      <c r="H28" s="108">
        <f>ENTRY!N13</f>
        <v>0</v>
      </c>
      <c r="I28" s="108">
        <f>ENTRY!L13</f>
        <v>0</v>
      </c>
      <c r="J28" s="2"/>
      <c r="K28" s="108">
        <f>ENTRY!Q13</f>
        <v>0</v>
      </c>
    </row>
    <row r="29" spans="1:11" x14ac:dyDescent="0.25">
      <c r="A29" s="51"/>
      <c r="B29" s="107"/>
      <c r="C29" s="105"/>
      <c r="D29" s="43" t="s">
        <v>73</v>
      </c>
      <c r="E29" s="40">
        <f>ENTRY!F13</f>
        <v>0</v>
      </c>
      <c r="F29" s="107"/>
      <c r="G29" s="105"/>
      <c r="H29" s="109"/>
      <c r="I29" s="109"/>
      <c r="J29" s="2"/>
      <c r="K29" s="109"/>
    </row>
    <row r="30" spans="1:11" ht="60.75" customHeight="1" x14ac:dyDescent="0.25">
      <c r="A30" s="30">
        <v>13</v>
      </c>
      <c r="B30" s="106">
        <f>ENTRY!B14</f>
        <v>0</v>
      </c>
      <c r="C30" s="104">
        <f>ENTRY!D14</f>
        <v>0</v>
      </c>
      <c r="D30" s="42" t="s">
        <v>72</v>
      </c>
      <c r="E30" s="39">
        <f>ENTRY!E14</f>
        <v>0</v>
      </c>
      <c r="F30" s="106">
        <f>ENTRY!M14</f>
        <v>0</v>
      </c>
      <c r="G30" s="104">
        <f>ENTRY!O14</f>
        <v>0</v>
      </c>
      <c r="H30" s="108">
        <f>ENTRY!N14</f>
        <v>0</v>
      </c>
      <c r="I30" s="108">
        <f>ENTRY!L14</f>
        <v>0</v>
      </c>
      <c r="J30" s="1"/>
      <c r="K30" s="108">
        <f>ENTRY!Q14</f>
        <v>0</v>
      </c>
    </row>
    <row r="31" spans="1:11" x14ac:dyDescent="0.25">
      <c r="A31" s="51"/>
      <c r="B31" s="107"/>
      <c r="C31" s="105"/>
      <c r="D31" s="43" t="s">
        <v>73</v>
      </c>
      <c r="E31" s="40">
        <f>ENTRY!F14</f>
        <v>0</v>
      </c>
      <c r="F31" s="107"/>
      <c r="G31" s="105"/>
      <c r="H31" s="109"/>
      <c r="I31" s="109"/>
      <c r="J31" s="1"/>
      <c r="K31" s="109"/>
    </row>
    <row r="32" spans="1:11" ht="60" customHeight="1" x14ac:dyDescent="0.25">
      <c r="A32" s="30">
        <v>14</v>
      </c>
      <c r="B32" s="106">
        <f>ENTRY!B15</f>
        <v>0</v>
      </c>
      <c r="C32" s="104">
        <f>ENTRY!D15</f>
        <v>0</v>
      </c>
      <c r="D32" s="42" t="s">
        <v>72</v>
      </c>
      <c r="E32" s="39">
        <f>ENTRY!E15</f>
        <v>0</v>
      </c>
      <c r="F32" s="106">
        <f>ENTRY!M15</f>
        <v>0</v>
      </c>
      <c r="G32" s="104">
        <f>ENTRY!O15</f>
        <v>0</v>
      </c>
      <c r="H32" s="108">
        <f>ENTRY!N15</f>
        <v>0</v>
      </c>
      <c r="I32" s="108">
        <f>ENTRY!L15</f>
        <v>0</v>
      </c>
      <c r="J32" s="1"/>
      <c r="K32" s="108">
        <f>ENTRY!Q15</f>
        <v>0</v>
      </c>
    </row>
    <row r="33" spans="1:11" x14ac:dyDescent="0.25">
      <c r="A33" s="51"/>
      <c r="B33" s="107"/>
      <c r="C33" s="105"/>
      <c r="D33" s="43" t="s">
        <v>73</v>
      </c>
      <c r="E33" s="40">
        <f>ENTRY!F15</f>
        <v>0</v>
      </c>
      <c r="F33" s="107"/>
      <c r="G33" s="105"/>
      <c r="H33" s="109"/>
      <c r="I33" s="109"/>
      <c r="J33" s="1"/>
      <c r="K33" s="109"/>
    </row>
    <row r="34" spans="1:11" ht="49.5" customHeight="1" x14ac:dyDescent="0.25">
      <c r="A34" s="30">
        <v>15</v>
      </c>
      <c r="B34" s="106">
        <f>ENTRY!B16</f>
        <v>0</v>
      </c>
      <c r="C34" s="104">
        <f>ENTRY!D16</f>
        <v>0</v>
      </c>
      <c r="D34" s="42" t="s">
        <v>72</v>
      </c>
      <c r="E34" s="39">
        <f>ENTRY!E16</f>
        <v>0</v>
      </c>
      <c r="F34" s="106">
        <f>ENTRY!M16</f>
        <v>0</v>
      </c>
      <c r="G34" s="104">
        <f>ENTRY!O16</f>
        <v>0</v>
      </c>
      <c r="H34" s="108">
        <f>ENTRY!N16</f>
        <v>0</v>
      </c>
      <c r="I34" s="108">
        <f>ENTRY!L16</f>
        <v>0</v>
      </c>
      <c r="J34" s="3"/>
      <c r="K34" s="108">
        <f>ENTRY!Q16</f>
        <v>0</v>
      </c>
    </row>
    <row r="35" spans="1:11" x14ac:dyDescent="0.25">
      <c r="A35" s="51"/>
      <c r="B35" s="107"/>
      <c r="C35" s="105"/>
      <c r="D35" s="43" t="s">
        <v>73</v>
      </c>
      <c r="E35" s="40">
        <f>ENTRY!F16</f>
        <v>0</v>
      </c>
      <c r="F35" s="107"/>
      <c r="G35" s="105"/>
      <c r="H35" s="109"/>
      <c r="I35" s="109"/>
      <c r="K35" s="109"/>
    </row>
    <row r="36" spans="1:11" x14ac:dyDescent="0.25">
      <c r="A36" s="33"/>
      <c r="C36" s="33"/>
      <c r="E36" s="44" t="s">
        <v>59</v>
      </c>
    </row>
  </sheetData>
  <mergeCells count="110">
    <mergeCell ref="I26:I27"/>
    <mergeCell ref="C34:C35"/>
    <mergeCell ref="C32:C33"/>
    <mergeCell ref="C30:C31"/>
    <mergeCell ref="C28:C29"/>
    <mergeCell ref="C26:C27"/>
    <mergeCell ref="G34:G35"/>
    <mergeCell ref="F34:F35"/>
    <mergeCell ref="G32:G33"/>
    <mergeCell ref="F32:F33"/>
    <mergeCell ref="G30:G31"/>
    <mergeCell ref="F30:F31"/>
    <mergeCell ref="I34:I35"/>
    <mergeCell ref="I32:I33"/>
    <mergeCell ref="I30:I31"/>
    <mergeCell ref="H34:H35"/>
    <mergeCell ref="H32:H33"/>
    <mergeCell ref="H30:H31"/>
    <mergeCell ref="B34:B35"/>
    <mergeCell ref="B32:B33"/>
    <mergeCell ref="B30:B31"/>
    <mergeCell ref="B28:B29"/>
    <mergeCell ref="B26:B27"/>
    <mergeCell ref="B16:B17"/>
    <mergeCell ref="I24:I25"/>
    <mergeCell ref="H24:H25"/>
    <mergeCell ref="I22:I23"/>
    <mergeCell ref="H22:H23"/>
    <mergeCell ref="F18:F19"/>
    <mergeCell ref="G18:G19"/>
    <mergeCell ref="H18:H19"/>
    <mergeCell ref="I18:I19"/>
    <mergeCell ref="I16:I17"/>
    <mergeCell ref="H16:H17"/>
    <mergeCell ref="G16:G17"/>
    <mergeCell ref="F16:F17"/>
    <mergeCell ref="B24:B25"/>
    <mergeCell ref="B22:B23"/>
    <mergeCell ref="B20:B21"/>
    <mergeCell ref="C20:C21"/>
    <mergeCell ref="B18:B19"/>
    <mergeCell ref="C18:C19"/>
    <mergeCell ref="K34:K35"/>
    <mergeCell ref="H6:H7"/>
    <mergeCell ref="C12:C13"/>
    <mergeCell ref="H12:H13"/>
    <mergeCell ref="H10:H11"/>
    <mergeCell ref="H8:H9"/>
    <mergeCell ref="I12:I13"/>
    <mergeCell ref="I10:I11"/>
    <mergeCell ref="I8:I9"/>
    <mergeCell ref="I6:I7"/>
    <mergeCell ref="I14:I15"/>
    <mergeCell ref="H14:H15"/>
    <mergeCell ref="G14:G15"/>
    <mergeCell ref="F14:F15"/>
    <mergeCell ref="C14:C15"/>
    <mergeCell ref="G12:G13"/>
    <mergeCell ref="K32:K33"/>
    <mergeCell ref="C6:C7"/>
    <mergeCell ref="C16:C17"/>
    <mergeCell ref="C8:C9"/>
    <mergeCell ref="C10:C11"/>
    <mergeCell ref="K12:K13"/>
    <mergeCell ref="K14:K15"/>
    <mergeCell ref="K26:K27"/>
    <mergeCell ref="K30:K31"/>
    <mergeCell ref="F12:F13"/>
    <mergeCell ref="G10:G11"/>
    <mergeCell ref="F10:F11"/>
    <mergeCell ref="G8:G9"/>
    <mergeCell ref="F8:F9"/>
    <mergeCell ref="C22:C23"/>
    <mergeCell ref="G28:G29"/>
    <mergeCell ref="F28:F29"/>
    <mergeCell ref="F26:F27"/>
    <mergeCell ref="G26:G27"/>
    <mergeCell ref="G24:G25"/>
    <mergeCell ref="K20:K21"/>
    <mergeCell ref="K18:K19"/>
    <mergeCell ref="K28:K29"/>
    <mergeCell ref="K24:K25"/>
    <mergeCell ref="K22:K23"/>
    <mergeCell ref="G22:G23"/>
    <mergeCell ref="F24:F25"/>
    <mergeCell ref="F22:F23"/>
    <mergeCell ref="C24:C25"/>
    <mergeCell ref="I28:I29"/>
    <mergeCell ref="H28:H29"/>
    <mergeCell ref="H26:H27"/>
    <mergeCell ref="K4:K5"/>
    <mergeCell ref="K6:K7"/>
    <mergeCell ref="K10:K11"/>
    <mergeCell ref="K8:K9"/>
    <mergeCell ref="K16:K17"/>
    <mergeCell ref="A1:I1"/>
    <mergeCell ref="A2:I2"/>
    <mergeCell ref="A4:A5"/>
    <mergeCell ref="F4:H4"/>
    <mergeCell ref="B4:B5"/>
    <mergeCell ref="C4:C5"/>
    <mergeCell ref="I4:I5"/>
    <mergeCell ref="D4:E5"/>
    <mergeCell ref="G6:G7"/>
    <mergeCell ref="F6:F7"/>
    <mergeCell ref="B14:B15"/>
    <mergeCell ref="B12:B13"/>
    <mergeCell ref="B10:B11"/>
    <mergeCell ref="B8:B9"/>
    <mergeCell ref="B6:B7"/>
  </mergeCells>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
  <sheetViews>
    <sheetView topLeftCell="D28" zoomScale="60" zoomScaleNormal="60" workbookViewId="0">
      <selection activeCell="J39" sqref="J39"/>
    </sheetView>
  </sheetViews>
  <sheetFormatPr defaultColWidth="8.7109375" defaultRowHeight="15" x14ac:dyDescent="0.25"/>
  <cols>
    <col min="1" max="1" width="7.42578125" style="54" customWidth="1"/>
    <col min="2" max="2" width="12.140625" style="74" customWidth="1"/>
    <col min="3" max="3" width="29.5703125" style="74" customWidth="1"/>
    <col min="4" max="4" width="37.85546875" style="86" customWidth="1"/>
    <col min="5" max="5" width="18.28515625" style="86" bestFit="1" customWidth="1"/>
    <col min="6" max="6" width="23.140625" style="74" customWidth="1"/>
    <col min="7" max="7" width="46.140625" style="86" customWidth="1"/>
    <col min="8" max="8" width="20.85546875" style="74" customWidth="1"/>
    <col min="9" max="9" width="38" style="74" customWidth="1"/>
    <col min="10" max="10" width="31.42578125" style="74" customWidth="1"/>
    <col min="11" max="11" width="27.7109375" style="74" bestFit="1" customWidth="1"/>
    <col min="12" max="12" width="28.140625" style="74" customWidth="1"/>
    <col min="13" max="13" width="32.85546875" style="74" customWidth="1"/>
    <col min="14" max="16384" width="8.7109375" style="74"/>
  </cols>
  <sheetData>
    <row r="1" spans="1:13" x14ac:dyDescent="0.25">
      <c r="A1" s="94" t="s">
        <v>42</v>
      </c>
      <c r="B1" s="94"/>
      <c r="C1" s="94"/>
      <c r="D1" s="94"/>
      <c r="E1" s="94"/>
      <c r="F1" s="94"/>
      <c r="G1" s="94"/>
      <c r="H1" s="94"/>
      <c r="I1" s="94"/>
      <c r="J1" s="94"/>
      <c r="K1" s="94"/>
      <c r="L1" s="94"/>
      <c r="M1" s="94"/>
    </row>
    <row r="2" spans="1:13" x14ac:dyDescent="0.25">
      <c r="A2" s="94" t="s">
        <v>18</v>
      </c>
      <c r="B2" s="94"/>
      <c r="C2" s="94"/>
      <c r="D2" s="94"/>
      <c r="E2" s="94"/>
      <c r="F2" s="94"/>
      <c r="G2" s="94"/>
      <c r="H2" s="94"/>
      <c r="I2" s="94"/>
      <c r="J2" s="94"/>
      <c r="K2" s="94"/>
      <c r="L2" s="94"/>
      <c r="M2" s="94"/>
    </row>
    <row r="3" spans="1:13" x14ac:dyDescent="0.25">
      <c r="A3" s="94" t="s">
        <v>100</v>
      </c>
      <c r="B3" s="94"/>
      <c r="C3" s="94"/>
      <c r="D3" s="94"/>
      <c r="E3" s="94"/>
      <c r="F3" s="94"/>
      <c r="G3" s="94"/>
      <c r="H3" s="94"/>
      <c r="I3" s="94"/>
      <c r="J3" s="94"/>
      <c r="K3" s="94"/>
      <c r="L3" s="94"/>
      <c r="M3" s="94"/>
    </row>
    <row r="5" spans="1:13" x14ac:dyDescent="0.25">
      <c r="A5" s="114" t="s">
        <v>20</v>
      </c>
      <c r="B5" s="118" t="s">
        <v>9</v>
      </c>
      <c r="C5" s="119"/>
      <c r="D5" s="114" t="s">
        <v>43</v>
      </c>
      <c r="E5" s="114" t="s">
        <v>74</v>
      </c>
      <c r="F5" s="114" t="s">
        <v>44</v>
      </c>
      <c r="G5" s="114" t="s">
        <v>7</v>
      </c>
      <c r="H5" s="114" t="s">
        <v>21</v>
      </c>
      <c r="I5" s="114" t="s">
        <v>45</v>
      </c>
      <c r="J5" s="116" t="s">
        <v>75</v>
      </c>
      <c r="K5" s="114" t="s">
        <v>46</v>
      </c>
      <c r="L5" s="114" t="s">
        <v>47</v>
      </c>
      <c r="M5" s="112" t="s">
        <v>48</v>
      </c>
    </row>
    <row r="6" spans="1:13" ht="37.5" customHeight="1" x14ac:dyDescent="0.25">
      <c r="A6" s="115"/>
      <c r="B6" s="120"/>
      <c r="C6" s="121"/>
      <c r="D6" s="115"/>
      <c r="E6" s="115"/>
      <c r="F6" s="115"/>
      <c r="G6" s="115"/>
      <c r="H6" s="115"/>
      <c r="I6" s="115"/>
      <c r="J6" s="117"/>
      <c r="K6" s="115"/>
      <c r="L6" s="115"/>
      <c r="M6" s="113"/>
    </row>
    <row r="7" spans="1:13" ht="99.95" customHeight="1" x14ac:dyDescent="0.25">
      <c r="A7" s="75">
        <v>1</v>
      </c>
      <c r="B7" s="76" t="s">
        <v>72</v>
      </c>
      <c r="C7" s="77" t="str">
        <f>'TAHUN 2024'!E6</f>
        <v xml:space="preserve">Lusiana, Dkk.      </v>
      </c>
      <c r="D7" s="124" t="str">
        <f>'TAHUN 2024'!H6</f>
        <v>Desa Salukonta, Kecamatan Tawalian, Kabupaten Mamasa, Provinsi Sulawesi Barat</v>
      </c>
      <c r="E7" s="122" t="str">
        <f>'TAHUN 2024'!G6</f>
        <v xml:space="preserve">1731 M² </v>
      </c>
      <c r="F7" s="122"/>
      <c r="G7" s="124" t="str">
        <f>'TAHUN 2024'!I6</f>
        <v>Dengan adanya pengajuan sertipikat Atas Nama Nurhayati dan Ajis Muis yang terletak di Ulumea, Desa Salukonta agar tidak menerbitkan sertipikat. Karena tanah tersebut tanah adat/warisan yang tidak diperjualbelikan atau dipindahtangankan</v>
      </c>
      <c r="H7" s="124"/>
      <c r="I7" s="124" t="s">
        <v>78</v>
      </c>
      <c r="J7" s="124">
        <f>ENTRY!P2</f>
        <v>0</v>
      </c>
      <c r="K7" s="124" t="str">
        <f>ENTRY!Q2</f>
        <v>Kaukus dan Surat Balasan</v>
      </c>
      <c r="L7" s="122">
        <f>ENTRY!S2</f>
        <v>0</v>
      </c>
      <c r="M7" s="122"/>
    </row>
    <row r="8" spans="1:13" ht="50.1" customHeight="1" x14ac:dyDescent="0.25">
      <c r="A8" s="78"/>
      <c r="B8" s="79" t="s">
        <v>73</v>
      </c>
      <c r="C8" s="80" t="str">
        <f>'TAHUN 2024'!E7</f>
        <v>Nurhayati dan Ajis Muis</v>
      </c>
      <c r="D8" s="125"/>
      <c r="E8" s="123"/>
      <c r="F8" s="123"/>
      <c r="G8" s="125"/>
      <c r="H8" s="125"/>
      <c r="I8" s="125"/>
      <c r="J8" s="125"/>
      <c r="K8" s="125"/>
      <c r="L8" s="123"/>
      <c r="M8" s="123"/>
    </row>
    <row r="9" spans="1:13" ht="99.95" customHeight="1" x14ac:dyDescent="0.25">
      <c r="A9" s="75">
        <v>2</v>
      </c>
      <c r="B9" s="81" t="s">
        <v>72</v>
      </c>
      <c r="C9" s="82" t="str">
        <f>'TAHUN 2024'!E8</f>
        <v xml:space="preserve">Arruan Lempan                               </v>
      </c>
      <c r="D9" s="124" t="str">
        <f>'TAHUN 2024'!H8</f>
        <v>Desa Salurano, Kecamatan Tanduk Kalua, Kabupaten Mamasa, Provinsi Sulawesi Barat</v>
      </c>
      <c r="E9" s="126">
        <f>'TAHUN 2024'!G8</f>
        <v>0</v>
      </c>
      <c r="F9" s="122"/>
      <c r="G9" s="124" t="str">
        <f>'TAHUN 2024'!I8</f>
        <v>Dengan adanya permohonan penerbitan Surat Hak Milik (Sertipikat) atas tanah yang terletak di Kampung Salurano, Kec. Tandukkalua atas nama Selfanus Idrus</v>
      </c>
      <c r="H9" s="124"/>
      <c r="I9" s="124" t="s">
        <v>83</v>
      </c>
      <c r="J9" s="124">
        <f>ENTRY!P3</f>
        <v>0</v>
      </c>
      <c r="K9" s="124" t="str">
        <f>ENTRY!Q3</f>
        <v>Tahapan Penanganan Permen ATR No. 21 Tahun 2020</v>
      </c>
      <c r="L9" s="122">
        <f>ENTRY!S3</f>
        <v>0</v>
      </c>
      <c r="M9" s="124"/>
    </row>
    <row r="10" spans="1:13" ht="50.1" customHeight="1" x14ac:dyDescent="0.25">
      <c r="A10" s="78"/>
      <c r="B10" s="83" t="s">
        <v>73</v>
      </c>
      <c r="C10" s="87" t="str">
        <f>'TAHUN 2024'!E9</f>
        <v>Selfanus Idrus</v>
      </c>
      <c r="D10" s="125"/>
      <c r="E10" s="127"/>
      <c r="F10" s="123"/>
      <c r="G10" s="125"/>
      <c r="H10" s="125"/>
      <c r="I10" s="125"/>
      <c r="J10" s="125"/>
      <c r="K10" s="125"/>
      <c r="L10" s="123"/>
      <c r="M10" s="125"/>
    </row>
    <row r="11" spans="1:13" ht="99.95" customHeight="1" x14ac:dyDescent="0.25">
      <c r="A11" s="75">
        <v>3</v>
      </c>
      <c r="B11" s="81" t="s">
        <v>72</v>
      </c>
      <c r="C11" s="77" t="str">
        <f>'TAHUN 2024'!E10</f>
        <v xml:space="preserve">Samuel Sude dan Arnice           </v>
      </c>
      <c r="D11" s="124" t="str">
        <f>'TAHUN 2024'!H10</f>
        <v>To'Barana, Desa Parondobulawan, Kecamatan Tandukkalua, Kabupaten Mamasa, Provinsi Sulawesi Barat.</v>
      </c>
      <c r="E11" s="122">
        <f>'TAHUN 2024'!G10</f>
        <v>0</v>
      </c>
      <c r="F11" s="122"/>
      <c r="G11" s="124" t="str">
        <f>'TAHUN 2024'!I10</f>
        <v>Pendaftaran bidang tanah/sertipikat Atas Nama Arnice pada bulan februari 2024 yang mendapat pencegahan/keberatan dari Demmanggaya Manggetan dengan dalih/alasan bahwa tanah/lahan hak milik yang bersangkutan</v>
      </c>
      <c r="H11" s="124"/>
      <c r="I11" s="124" t="s">
        <v>87</v>
      </c>
      <c r="J11" s="124">
        <f>ENTRY!P4</f>
        <v>0</v>
      </c>
      <c r="K11" s="124" t="str">
        <f>ENTRY!Q4</f>
        <v>Penyelesaian oleh Kepala Desa</v>
      </c>
      <c r="L11" s="122">
        <f>ENTRY!S4</f>
        <v>0</v>
      </c>
      <c r="M11" s="122"/>
    </row>
    <row r="12" spans="1:13" ht="50.1" customHeight="1" x14ac:dyDescent="0.25">
      <c r="A12" s="78"/>
      <c r="B12" s="83" t="s">
        <v>73</v>
      </c>
      <c r="C12" s="80" t="str">
        <f>'TAHUN 2024'!E11</f>
        <v>Demmanggaya Manggetan</v>
      </c>
      <c r="D12" s="125"/>
      <c r="E12" s="123"/>
      <c r="F12" s="123"/>
      <c r="G12" s="125"/>
      <c r="H12" s="125"/>
      <c r="I12" s="125"/>
      <c r="J12" s="125"/>
      <c r="K12" s="125"/>
      <c r="L12" s="123"/>
      <c r="M12" s="123"/>
    </row>
    <row r="13" spans="1:13" ht="99.95" customHeight="1" x14ac:dyDescent="0.25">
      <c r="A13" s="75">
        <v>4</v>
      </c>
      <c r="B13" s="81" t="s">
        <v>72</v>
      </c>
      <c r="C13" s="77" t="str">
        <f>'TAHUN 2024'!E12</f>
        <v xml:space="preserve">Selfanus Idrus Goalangi </v>
      </c>
      <c r="D13" s="124" t="str">
        <f>'TAHUN 2024'!H12</f>
        <v>Mekalia, Desa Salurano, Kecamatan Tandukkalua, Kabupaten Mamasa, Provinsi Sulawesi Barat.</v>
      </c>
      <c r="E13" s="122">
        <f>'TAHUN 2024'!G12</f>
        <v>0</v>
      </c>
      <c r="F13" s="122"/>
      <c r="G13" s="124" t="str">
        <f>'TAHUN 2024'!I12</f>
        <v>Penangguhan penerbitan atas nama Ponggalunggu ataupun Langi'Kampun</v>
      </c>
      <c r="H13" s="124"/>
      <c r="I13" s="124" t="s">
        <v>92</v>
      </c>
      <c r="J13" s="124">
        <f>ENTRY!P5</f>
        <v>0</v>
      </c>
      <c r="K13" s="124" t="str">
        <f>ENTRY!Q5</f>
        <v>Tahapan Penanganan Permen ATR No. 21 Tahun 2020</v>
      </c>
      <c r="L13" s="122">
        <f>ENTRY!S5</f>
        <v>0</v>
      </c>
      <c r="M13" s="122"/>
    </row>
    <row r="14" spans="1:13" ht="50.1" customHeight="1" x14ac:dyDescent="0.25">
      <c r="A14" s="78"/>
      <c r="B14" s="83" t="s">
        <v>73</v>
      </c>
      <c r="C14" s="80" t="str">
        <f>'TAHUN 2024'!E13</f>
        <v>Ponggalunggu &amp; Langi'Kampun</v>
      </c>
      <c r="D14" s="125"/>
      <c r="E14" s="123"/>
      <c r="F14" s="123"/>
      <c r="G14" s="125"/>
      <c r="H14" s="125"/>
      <c r="I14" s="125"/>
      <c r="J14" s="125"/>
      <c r="K14" s="125"/>
      <c r="L14" s="123"/>
      <c r="M14" s="123"/>
    </row>
    <row r="15" spans="1:13" ht="99.95" customHeight="1" x14ac:dyDescent="0.25">
      <c r="A15" s="75">
        <v>5</v>
      </c>
      <c r="B15" s="81" t="s">
        <v>72</v>
      </c>
      <c r="C15" s="82" t="str">
        <f>'TAHUN 2024'!E14</f>
        <v xml:space="preserve">Nasrullah                           </v>
      </c>
      <c r="D15" s="124" t="str">
        <f>'TAHUN 2024'!H14</f>
        <v>Desa Saluahok, Kecamatan Mehalaan, Kabupaten Mamasa, Provinsi Sulawesi Barat.</v>
      </c>
      <c r="E15" s="124">
        <f>'TAHUN 2024'!G14</f>
        <v>0</v>
      </c>
      <c r="F15" s="122"/>
      <c r="G15" s="124" t="str">
        <f>'TAHUN 2024'!I14</f>
        <v>Keberatan atas terbitnya sertipikat tanah dengan nomor : 31.01.16.07.01.08181 atas nama Najamuddin</v>
      </c>
      <c r="H15" s="124"/>
      <c r="I15" s="124" t="s">
        <v>99</v>
      </c>
      <c r="J15" s="124" t="str">
        <f>ENTRY!P6</f>
        <v>Aparat Desa</v>
      </c>
      <c r="K15" s="124">
        <f>ENTRY!Q6</f>
        <v>0</v>
      </c>
      <c r="L15" s="122">
        <f>ENTRY!S6</f>
        <v>0</v>
      </c>
      <c r="M15" s="122"/>
    </row>
    <row r="16" spans="1:13" ht="50.1" customHeight="1" x14ac:dyDescent="0.25">
      <c r="A16" s="78"/>
      <c r="B16" s="83" t="s">
        <v>73</v>
      </c>
      <c r="C16" s="87" t="str">
        <f>'TAHUN 2024'!E15</f>
        <v>Najamuddin</v>
      </c>
      <c r="D16" s="125"/>
      <c r="E16" s="125"/>
      <c r="F16" s="123"/>
      <c r="G16" s="125"/>
      <c r="H16" s="125"/>
      <c r="I16" s="125"/>
      <c r="J16" s="125"/>
      <c r="K16" s="125"/>
      <c r="L16" s="123"/>
      <c r="M16" s="123"/>
    </row>
    <row r="17" spans="1:13" ht="99.95" customHeight="1" x14ac:dyDescent="0.25">
      <c r="A17" s="75">
        <v>6</v>
      </c>
      <c r="B17" s="81" t="s">
        <v>72</v>
      </c>
      <c r="C17" s="82" t="str">
        <f>'TAHUN 2024'!E16</f>
        <v>Deppasulle Arruan Linggi</v>
      </c>
      <c r="D17" s="124" t="str">
        <f>'TAHUN 2024'!H16</f>
        <v>Desa Kanan, Kecamatan Tandukkalua, Kabupaten Mamasa, Provinsi Sulawesi Barat.</v>
      </c>
      <c r="E17" s="128" t="str">
        <f>'TAHUN 2024'!G16</f>
        <v>± 2 Ha</v>
      </c>
      <c r="F17" s="128"/>
      <c r="G17" s="124" t="str">
        <f>'TAHUN 2024'!I16</f>
        <v>Pencegahan agar tidak melayani pengukuran tanah atau penerbitan sertipikat tanah oleh pihak manapun, terkhusus Sdr. Daen Malewa &amp; Sdr. Deppasulle alias Sulle</v>
      </c>
      <c r="H17" s="130"/>
      <c r="I17" s="130" t="s">
        <v>121</v>
      </c>
      <c r="J17" s="124">
        <f>ENTRY!P7</f>
        <v>0</v>
      </c>
      <c r="K17" s="124">
        <f>ENTRY!Q7</f>
        <v>0</v>
      </c>
      <c r="L17" s="122">
        <f>ENTRY!S7</f>
        <v>0</v>
      </c>
      <c r="M17" s="128"/>
    </row>
    <row r="18" spans="1:13" ht="50.1" customHeight="1" x14ac:dyDescent="0.25">
      <c r="A18" s="78"/>
      <c r="B18" s="83" t="s">
        <v>73</v>
      </c>
      <c r="C18" s="87" t="str">
        <f>'TAHUN 2024'!E17</f>
        <v>Daen Malewa &amp; Deppasulle alias Sulle</v>
      </c>
      <c r="D18" s="125"/>
      <c r="E18" s="129"/>
      <c r="F18" s="129"/>
      <c r="G18" s="125"/>
      <c r="H18" s="131"/>
      <c r="I18" s="131"/>
      <c r="J18" s="125"/>
      <c r="K18" s="125"/>
      <c r="L18" s="123"/>
      <c r="M18" s="129"/>
    </row>
    <row r="19" spans="1:13" ht="99.95" customHeight="1" x14ac:dyDescent="0.25">
      <c r="A19" s="75">
        <v>7</v>
      </c>
      <c r="B19" s="81" t="s">
        <v>72</v>
      </c>
      <c r="C19" s="82" t="str">
        <f>'TAHUN 2024'!E18</f>
        <v>Paonganan</v>
      </c>
      <c r="D19" s="124" t="str">
        <f>'TAHUN 2024'!H18</f>
        <v>Dusun Kumbang, Desa Taupe, Kecamatan Mamasa, Kabupaten Mamasa, Provinsi Sulawesi Barat.</v>
      </c>
      <c r="E19" s="124">
        <f>'TAHUN 2024'!G18</f>
        <v>0</v>
      </c>
      <c r="F19" s="122"/>
      <c r="G19" s="124" t="str">
        <f>'TAHUN 2024'!I18</f>
        <v>Sehubung dilaksanakan pengukuran tanah atas nama Petrus oleh tim BPN Mamasa, maka kami keberatan pengukuran dan pembatalan sertipikat hak milik atas nama Petrus</v>
      </c>
      <c r="H19" s="124"/>
      <c r="I19" s="124" t="s">
        <v>127</v>
      </c>
      <c r="J19" s="124">
        <f>ENTRY!P8</f>
        <v>0</v>
      </c>
      <c r="K19" s="124">
        <f>ENTRY!Q8</f>
        <v>0</v>
      </c>
      <c r="L19" s="122">
        <f>ENTRY!S8</f>
        <v>0</v>
      </c>
      <c r="M19" s="122"/>
    </row>
    <row r="20" spans="1:13" ht="50.1" customHeight="1" x14ac:dyDescent="0.25">
      <c r="A20" s="78"/>
      <c r="B20" s="83" t="s">
        <v>73</v>
      </c>
      <c r="C20" s="87" t="str">
        <f>'TAHUN 2024'!E19</f>
        <v>Petrus, Limbong Gayang</v>
      </c>
      <c r="D20" s="125"/>
      <c r="E20" s="125"/>
      <c r="F20" s="123"/>
      <c r="G20" s="125"/>
      <c r="H20" s="125"/>
      <c r="I20" s="125"/>
      <c r="J20" s="125"/>
      <c r="K20" s="125"/>
      <c r="L20" s="123"/>
      <c r="M20" s="123"/>
    </row>
    <row r="21" spans="1:13" ht="99.95" customHeight="1" x14ac:dyDescent="0.25">
      <c r="A21" s="75">
        <v>8</v>
      </c>
      <c r="B21" s="81" t="s">
        <v>72</v>
      </c>
      <c r="C21" s="82" t="str">
        <f>'TAHUN 2024'!E20</f>
        <v>Bongga Malillin, Dkk</v>
      </c>
      <c r="D21" s="124" t="str">
        <f>'TAHUN 2024'!H20</f>
        <v>Dusun Rantesepang Desa Malabo Kecamatan Tandukkalua Kabupaten Mamasa</v>
      </c>
      <c r="E21" s="124">
        <f>'TAHUN 2024'!G20</f>
        <v>0</v>
      </c>
      <c r="F21" s="122"/>
      <c r="G21" s="124" t="str">
        <f>'TAHUN 2024'!I20</f>
        <v>Penundaan Pengukuran Lahan An Pattakarua, Marlina, Daud, Harlis Pranata, Abner, Rosdawati, Natalia dengan alasan tanah tersebut seharusnya di bagi dua berdasarkan silsilah keluarga, yaitu Rumpun Keluarga ARRUAN BANGA dan LIMBO SILOMBA</v>
      </c>
      <c r="H21" s="124"/>
      <c r="I21" s="124"/>
      <c r="J21" s="124">
        <f>ENTRY!P9</f>
        <v>0</v>
      </c>
      <c r="K21" s="124">
        <f>ENTRY!Q9</f>
        <v>0</v>
      </c>
      <c r="L21" s="122">
        <f>ENTRY!S9</f>
        <v>0</v>
      </c>
      <c r="M21" s="122"/>
    </row>
    <row r="22" spans="1:13" ht="50.1" customHeight="1" x14ac:dyDescent="0.25">
      <c r="A22" s="78"/>
      <c r="B22" s="83" t="s">
        <v>73</v>
      </c>
      <c r="C22" s="87" t="str">
        <f>'TAHUN 2024'!E21</f>
        <v>Pattakarua, Marlina, Daud, Harlis Pranata, Abner, Rosdawati &amp; Natalia</v>
      </c>
      <c r="D22" s="125"/>
      <c r="E22" s="125"/>
      <c r="F22" s="123"/>
      <c r="G22" s="125"/>
      <c r="H22" s="125"/>
      <c r="I22" s="125"/>
      <c r="J22" s="125"/>
      <c r="K22" s="125"/>
      <c r="L22" s="123"/>
      <c r="M22" s="123"/>
    </row>
    <row r="23" spans="1:13" ht="103.5" customHeight="1" x14ac:dyDescent="0.25">
      <c r="A23" s="75">
        <v>9</v>
      </c>
      <c r="B23" s="81" t="s">
        <v>72</v>
      </c>
      <c r="C23" s="82" t="str">
        <f>'TAHUN 2024'!E22</f>
        <v>Levinus</v>
      </c>
      <c r="D23" s="124" t="str">
        <f>'TAHUN 2024'!H22</f>
        <v>Desa Rantekamase Kecamatan Sumarorong Kabupaten Mamasa Provinsi Sulawesi Barat</v>
      </c>
      <c r="E23" s="128" t="str">
        <f>'TAHUN 2024'!G22</f>
        <v>±2911 M²</v>
      </c>
      <c r="F23" s="128"/>
      <c r="G23" s="124" t="str">
        <f>'TAHUN 2024'!I22</f>
        <v xml:space="preserve">Pencegahan/Keberatan pengukuran ulang  tanah yang ada di Desa Rantekamase Kec.Sumarorong dari Bpk Dominggus, karena tanah tersebut milik Bpk Levinus </v>
      </c>
      <c r="H23" s="130"/>
      <c r="I23" s="130"/>
      <c r="J23" s="124">
        <f>ENTRY!P10</f>
        <v>0</v>
      </c>
      <c r="K23" s="124">
        <f>ENTRY!Q10</f>
        <v>0</v>
      </c>
      <c r="L23" s="122">
        <f>ENTRY!S10</f>
        <v>0</v>
      </c>
      <c r="M23" s="124"/>
    </row>
    <row r="24" spans="1:13" ht="50.1" customHeight="1" x14ac:dyDescent="0.25">
      <c r="A24" s="78"/>
      <c r="B24" s="83" t="s">
        <v>73</v>
      </c>
      <c r="C24" s="87" t="str">
        <f>'TAHUN 2024'!E23</f>
        <v>Dominggus</v>
      </c>
      <c r="D24" s="125"/>
      <c r="E24" s="129"/>
      <c r="F24" s="129"/>
      <c r="G24" s="125"/>
      <c r="H24" s="131"/>
      <c r="I24" s="131"/>
      <c r="J24" s="125"/>
      <c r="K24" s="125"/>
      <c r="L24" s="123"/>
      <c r="M24" s="125"/>
    </row>
    <row r="25" spans="1:13" ht="159" customHeight="1" x14ac:dyDescent="0.25">
      <c r="A25" s="75">
        <v>10</v>
      </c>
      <c r="B25" s="81" t="s">
        <v>72</v>
      </c>
      <c r="C25" s="82" t="str">
        <f>'TAHUN 2024'!E24</f>
        <v>Deppabala</v>
      </c>
      <c r="D25" s="124" t="str">
        <f>'TAHUN 2024'!H24</f>
        <v>Dusun Orang Desa Malabo Kecamatan Tandukkalua Kabupaten Mamasa Provinsi Sulawesi Barat</v>
      </c>
      <c r="E25" s="128">
        <f>'TAHUN 2024'!G24</f>
        <v>0</v>
      </c>
      <c r="F25" s="128"/>
      <c r="G25" s="124" t="str">
        <f>'TAHUN 2024'!I24</f>
        <v>Pencegahan Pengukuran dan Penerbitan Sertipikat Tanah di Dusun Orong Desa Malabo, Kec.Tandukkalua, karena tanah(sawah) tersebut merupakan jaminan utang piutang antara Deppabala dan Arruan Paillin</v>
      </c>
      <c r="H25" s="128"/>
      <c r="I25" s="130"/>
      <c r="J25" s="124">
        <f>ENTRY!P11</f>
        <v>0</v>
      </c>
      <c r="K25" s="124">
        <f>ENTRY!Q11</f>
        <v>0</v>
      </c>
      <c r="L25" s="122">
        <f>ENTRY!S11</f>
        <v>0</v>
      </c>
      <c r="M25" s="128"/>
    </row>
    <row r="26" spans="1:13" ht="50.1" customHeight="1" x14ac:dyDescent="0.25">
      <c r="A26" s="78"/>
      <c r="B26" s="83" t="s">
        <v>73</v>
      </c>
      <c r="C26" s="87" t="str">
        <f>'TAHUN 2024'!E25</f>
        <v>Arruan Paillin</v>
      </c>
      <c r="D26" s="125"/>
      <c r="E26" s="129"/>
      <c r="F26" s="129"/>
      <c r="G26" s="125"/>
      <c r="H26" s="129"/>
      <c r="I26" s="131"/>
      <c r="J26" s="125"/>
      <c r="K26" s="125"/>
      <c r="L26" s="123"/>
      <c r="M26" s="129"/>
    </row>
    <row r="27" spans="1:13" ht="99.95" customHeight="1" x14ac:dyDescent="0.25">
      <c r="A27" s="75">
        <v>11</v>
      </c>
      <c r="B27" s="81" t="s">
        <v>72</v>
      </c>
      <c r="C27" s="82">
        <f>'TAHUN 2024'!E26</f>
        <v>0</v>
      </c>
      <c r="D27" s="130">
        <f>'TAHUN 2024'!H26</f>
        <v>0</v>
      </c>
      <c r="E27" s="128">
        <f>'TAHUN 2024'!G26</f>
        <v>0</v>
      </c>
      <c r="F27" s="128"/>
      <c r="G27" s="130">
        <f>'TAHUN 2024'!I26</f>
        <v>0</v>
      </c>
      <c r="H27" s="128"/>
      <c r="I27" s="124"/>
      <c r="J27" s="124">
        <f>ENTRY!P12</f>
        <v>0</v>
      </c>
      <c r="K27" s="124">
        <f>ENTRY!Q12</f>
        <v>0</v>
      </c>
      <c r="L27" s="122">
        <f>ENTRY!S12</f>
        <v>0</v>
      </c>
      <c r="M27" s="130"/>
    </row>
    <row r="28" spans="1:13" ht="50.1" customHeight="1" x14ac:dyDescent="0.25">
      <c r="A28" s="84"/>
      <c r="B28" s="83" t="s">
        <v>73</v>
      </c>
      <c r="C28" s="87">
        <f>'TAHUN 2024'!E27</f>
        <v>0</v>
      </c>
      <c r="D28" s="131"/>
      <c r="E28" s="129"/>
      <c r="F28" s="129"/>
      <c r="G28" s="131"/>
      <c r="H28" s="129"/>
      <c r="I28" s="125"/>
      <c r="J28" s="125"/>
      <c r="K28" s="125"/>
      <c r="L28" s="123"/>
      <c r="M28" s="131"/>
    </row>
    <row r="29" spans="1:13" ht="99.95" customHeight="1" x14ac:dyDescent="0.25">
      <c r="A29" s="75">
        <v>12</v>
      </c>
      <c r="B29" s="76" t="s">
        <v>72</v>
      </c>
      <c r="C29" s="77">
        <f>'TAHUN 2024'!E28</f>
        <v>0</v>
      </c>
      <c r="D29" s="130">
        <f>'TAHUN 2024'!H28</f>
        <v>0</v>
      </c>
      <c r="E29" s="128">
        <f>'TAHUN 2024'!G28</f>
        <v>0</v>
      </c>
      <c r="F29" s="128"/>
      <c r="G29" s="130">
        <f>'TAHUN 2024'!I28</f>
        <v>0</v>
      </c>
      <c r="H29" s="128"/>
      <c r="I29" s="124"/>
      <c r="J29" s="124">
        <f>ENTRY!P13</f>
        <v>0</v>
      </c>
      <c r="K29" s="124">
        <f>ENTRY!Q13</f>
        <v>0</v>
      </c>
      <c r="L29" s="122">
        <f>ENTRY!S13</f>
        <v>0</v>
      </c>
      <c r="M29" s="130"/>
    </row>
    <row r="30" spans="1:13" ht="50.1" customHeight="1" x14ac:dyDescent="0.25">
      <c r="A30" s="78"/>
      <c r="B30" s="79" t="s">
        <v>73</v>
      </c>
      <c r="C30" s="80">
        <f>'TAHUN 2024'!E29</f>
        <v>0</v>
      </c>
      <c r="D30" s="131"/>
      <c r="E30" s="129"/>
      <c r="F30" s="129"/>
      <c r="G30" s="131"/>
      <c r="H30" s="129"/>
      <c r="I30" s="125"/>
      <c r="J30" s="125"/>
      <c r="K30" s="125"/>
      <c r="L30" s="123"/>
      <c r="M30" s="131"/>
    </row>
    <row r="31" spans="1:13" ht="158.1" customHeight="1" x14ac:dyDescent="0.25">
      <c r="A31" s="70">
        <v>13</v>
      </c>
      <c r="B31" s="76" t="s">
        <v>72</v>
      </c>
      <c r="C31" s="82">
        <f>'TAHUN 2024'!E30</f>
        <v>0</v>
      </c>
      <c r="D31" s="130">
        <f>'TAHUN 2024'!H30</f>
        <v>0</v>
      </c>
      <c r="E31" s="130">
        <f>'TAHUN 2024'!G30</f>
        <v>0</v>
      </c>
      <c r="F31" s="130"/>
      <c r="G31" s="130">
        <f>'TAHUN 2024'!I30</f>
        <v>0</v>
      </c>
      <c r="H31" s="130"/>
      <c r="I31" s="130"/>
      <c r="J31" s="124">
        <f>ENTRY!P14</f>
        <v>0</v>
      </c>
      <c r="K31" s="124">
        <f>ENTRY!Q14</f>
        <v>0</v>
      </c>
      <c r="L31" s="122">
        <f>ENTRY!S14</f>
        <v>0</v>
      </c>
      <c r="M31" s="130"/>
    </row>
    <row r="32" spans="1:13" ht="50.1" customHeight="1" x14ac:dyDescent="0.25">
      <c r="A32" s="71"/>
      <c r="B32" s="79" t="s">
        <v>73</v>
      </c>
      <c r="C32" s="87">
        <f>'TAHUN 2024'!E31</f>
        <v>0</v>
      </c>
      <c r="D32" s="131"/>
      <c r="E32" s="131"/>
      <c r="F32" s="131"/>
      <c r="G32" s="131"/>
      <c r="H32" s="131"/>
      <c r="I32" s="131"/>
      <c r="J32" s="125"/>
      <c r="K32" s="125"/>
      <c r="L32" s="123"/>
      <c r="M32" s="131"/>
    </row>
    <row r="33" spans="1:13" ht="99.95" customHeight="1" x14ac:dyDescent="0.25">
      <c r="A33" s="70">
        <v>14</v>
      </c>
      <c r="B33" s="76" t="s">
        <v>72</v>
      </c>
      <c r="C33" s="82">
        <f>'TAHUN 2024'!E32</f>
        <v>0</v>
      </c>
      <c r="D33" s="130">
        <f>'TAHUN 2024'!H32</f>
        <v>0</v>
      </c>
      <c r="E33" s="130">
        <f>'TAHUN 2024'!G32</f>
        <v>0</v>
      </c>
      <c r="F33" s="130"/>
      <c r="G33" s="130">
        <f>'TAHUN 2024'!I32</f>
        <v>0</v>
      </c>
      <c r="H33" s="130"/>
      <c r="I33" s="130"/>
      <c r="J33" s="124">
        <f>ENTRY!P15</f>
        <v>0</v>
      </c>
      <c r="K33" s="124">
        <f>ENTRY!Q15</f>
        <v>0</v>
      </c>
      <c r="L33" s="122">
        <f>ENTRY!S15</f>
        <v>0</v>
      </c>
      <c r="M33" s="130"/>
    </row>
    <row r="34" spans="1:13" ht="50.1" customHeight="1" x14ac:dyDescent="0.25">
      <c r="A34" s="71"/>
      <c r="B34" s="85" t="s">
        <v>73</v>
      </c>
      <c r="C34" s="87">
        <f>'TAHUN 2024'!E33</f>
        <v>0</v>
      </c>
      <c r="D34" s="131"/>
      <c r="E34" s="131"/>
      <c r="F34" s="131"/>
      <c r="G34" s="131"/>
      <c r="H34" s="131"/>
      <c r="I34" s="131"/>
      <c r="J34" s="125"/>
      <c r="K34" s="125"/>
      <c r="L34" s="123"/>
      <c r="M34" s="131"/>
    </row>
    <row r="35" spans="1:13" ht="99.95" customHeight="1" x14ac:dyDescent="0.25">
      <c r="A35" s="70">
        <v>15</v>
      </c>
      <c r="B35" s="81" t="s">
        <v>72</v>
      </c>
      <c r="C35" s="82">
        <f>'TAHUN 2024'!E34</f>
        <v>0</v>
      </c>
      <c r="D35" s="130">
        <f>'TAHUN 2024'!H34</f>
        <v>0</v>
      </c>
      <c r="E35" s="130">
        <f>'TAHUN 2024'!G34</f>
        <v>0</v>
      </c>
      <c r="F35" s="130"/>
      <c r="G35" s="130">
        <f>'TAHUN 2024'!I34</f>
        <v>0</v>
      </c>
      <c r="H35" s="130"/>
      <c r="I35" s="130"/>
      <c r="J35" s="124">
        <f>ENTRY!P16</f>
        <v>0</v>
      </c>
      <c r="K35" s="124">
        <f>ENTRY!Q16</f>
        <v>0</v>
      </c>
      <c r="L35" s="122">
        <f>ENTRY!S16</f>
        <v>0</v>
      </c>
      <c r="M35" s="130"/>
    </row>
    <row r="36" spans="1:13" ht="50.1" customHeight="1" x14ac:dyDescent="0.25">
      <c r="A36" s="71"/>
      <c r="B36" s="83" t="s">
        <v>73</v>
      </c>
      <c r="C36" s="87">
        <f>'TAHUN 2024'!E35</f>
        <v>0</v>
      </c>
      <c r="D36" s="131"/>
      <c r="E36" s="131"/>
      <c r="F36" s="131"/>
      <c r="G36" s="131"/>
      <c r="H36" s="131"/>
      <c r="I36" s="131"/>
      <c r="J36" s="125"/>
      <c r="K36" s="125"/>
      <c r="L36" s="123"/>
      <c r="M36" s="131"/>
    </row>
  </sheetData>
  <mergeCells count="165">
    <mergeCell ref="D35:D36"/>
    <mergeCell ref="D33:D34"/>
    <mergeCell ref="D31:D32"/>
    <mergeCell ref="D29:D30"/>
    <mergeCell ref="D27:D28"/>
    <mergeCell ref="E27:E28"/>
    <mergeCell ref="E29:E30"/>
    <mergeCell ref="E31:E32"/>
    <mergeCell ref="E33:E34"/>
    <mergeCell ref="E35:E36"/>
    <mergeCell ref="F35:F36"/>
    <mergeCell ref="F33:F34"/>
    <mergeCell ref="F31:F32"/>
    <mergeCell ref="F29:F30"/>
    <mergeCell ref="F27:F28"/>
    <mergeCell ref="G27:G28"/>
    <mergeCell ref="G29:G30"/>
    <mergeCell ref="G31:G32"/>
    <mergeCell ref="G33:G34"/>
    <mergeCell ref="G35:G36"/>
    <mergeCell ref="I27:I28"/>
    <mergeCell ref="I33:I34"/>
    <mergeCell ref="I35:I36"/>
    <mergeCell ref="H35:H36"/>
    <mergeCell ref="H33:H34"/>
    <mergeCell ref="H31:H32"/>
    <mergeCell ref="H29:H30"/>
    <mergeCell ref="H27:H28"/>
    <mergeCell ref="I29:I30"/>
    <mergeCell ref="I31:I32"/>
    <mergeCell ref="J35:J36"/>
    <mergeCell ref="J33:J34"/>
    <mergeCell ref="J31:J32"/>
    <mergeCell ref="J29:J30"/>
    <mergeCell ref="J27:J28"/>
    <mergeCell ref="M27:M28"/>
    <mergeCell ref="L29:L30"/>
    <mergeCell ref="L27:L28"/>
    <mergeCell ref="L33:L34"/>
    <mergeCell ref="K35:K36"/>
    <mergeCell ref="K29:K30"/>
    <mergeCell ref="K27:K28"/>
    <mergeCell ref="K33:K34"/>
    <mergeCell ref="K31:K32"/>
    <mergeCell ref="L31:L32"/>
    <mergeCell ref="M35:M36"/>
    <mergeCell ref="M33:M34"/>
    <mergeCell ref="M31:M32"/>
    <mergeCell ref="M29:M30"/>
    <mergeCell ref="L35:L36"/>
    <mergeCell ref="D25:D26"/>
    <mergeCell ref="D23:D24"/>
    <mergeCell ref="D21:D22"/>
    <mergeCell ref="D19:D20"/>
    <mergeCell ref="D17:D18"/>
    <mergeCell ref="E25:E26"/>
    <mergeCell ref="E23:E24"/>
    <mergeCell ref="E21:E22"/>
    <mergeCell ref="E19:E20"/>
    <mergeCell ref="E17:E18"/>
    <mergeCell ref="F25:F26"/>
    <mergeCell ref="F23:F24"/>
    <mergeCell ref="F21:F22"/>
    <mergeCell ref="F19:F20"/>
    <mergeCell ref="F17:F18"/>
    <mergeCell ref="G25:G26"/>
    <mergeCell ref="G23:G24"/>
    <mergeCell ref="G21:G22"/>
    <mergeCell ref="G19:G20"/>
    <mergeCell ref="G17:G18"/>
    <mergeCell ref="H25:H26"/>
    <mergeCell ref="H23:H24"/>
    <mergeCell ref="H21:H22"/>
    <mergeCell ref="H19:H20"/>
    <mergeCell ref="H17:H18"/>
    <mergeCell ref="I25:I26"/>
    <mergeCell ref="I23:I24"/>
    <mergeCell ref="I21:I22"/>
    <mergeCell ref="I19:I20"/>
    <mergeCell ref="I17:I18"/>
    <mergeCell ref="J25:J26"/>
    <mergeCell ref="J23:J24"/>
    <mergeCell ref="J21:J22"/>
    <mergeCell ref="J19:J20"/>
    <mergeCell ref="J17:J18"/>
    <mergeCell ref="K25:K26"/>
    <mergeCell ref="K23:K24"/>
    <mergeCell ref="K21:K22"/>
    <mergeCell ref="K19:K20"/>
    <mergeCell ref="K17:K18"/>
    <mergeCell ref="L25:L26"/>
    <mergeCell ref="L23:L24"/>
    <mergeCell ref="L21:L22"/>
    <mergeCell ref="L19:L20"/>
    <mergeCell ref="L17:L18"/>
    <mergeCell ref="M25:M26"/>
    <mergeCell ref="M23:M24"/>
    <mergeCell ref="M21:M22"/>
    <mergeCell ref="M19:M20"/>
    <mergeCell ref="M17:M18"/>
    <mergeCell ref="D15:D16"/>
    <mergeCell ref="D13:D14"/>
    <mergeCell ref="D11:D12"/>
    <mergeCell ref="D9:D10"/>
    <mergeCell ref="D7:D8"/>
    <mergeCell ref="E15:E16"/>
    <mergeCell ref="E13:E14"/>
    <mergeCell ref="E11:E12"/>
    <mergeCell ref="E9:E10"/>
    <mergeCell ref="E7:E8"/>
    <mergeCell ref="F15:F16"/>
    <mergeCell ref="F13:F14"/>
    <mergeCell ref="F11:F12"/>
    <mergeCell ref="F9:F10"/>
    <mergeCell ref="F7:F8"/>
    <mergeCell ref="G15:G16"/>
    <mergeCell ref="G13:G14"/>
    <mergeCell ref="G11:G12"/>
    <mergeCell ref="G9:G10"/>
    <mergeCell ref="G7:G8"/>
    <mergeCell ref="H15:H16"/>
    <mergeCell ref="H13:H14"/>
    <mergeCell ref="H11:H12"/>
    <mergeCell ref="H9:H10"/>
    <mergeCell ref="H7:H8"/>
    <mergeCell ref="I15:I16"/>
    <mergeCell ref="I13:I14"/>
    <mergeCell ref="I11:I12"/>
    <mergeCell ref="I9:I10"/>
    <mergeCell ref="I7:I8"/>
    <mergeCell ref="J15:J16"/>
    <mergeCell ref="J13:J14"/>
    <mergeCell ref="J11:J12"/>
    <mergeCell ref="J9:J10"/>
    <mergeCell ref="J7:J8"/>
    <mergeCell ref="K15:K16"/>
    <mergeCell ref="K13:K14"/>
    <mergeCell ref="K11:K12"/>
    <mergeCell ref="K9:K10"/>
    <mergeCell ref="K7:K8"/>
    <mergeCell ref="L15:L16"/>
    <mergeCell ref="L13:L14"/>
    <mergeCell ref="L11:L12"/>
    <mergeCell ref="L9:L10"/>
    <mergeCell ref="L7:L8"/>
    <mergeCell ref="M15:M16"/>
    <mergeCell ref="M13:M14"/>
    <mergeCell ref="M11:M12"/>
    <mergeCell ref="M9:M10"/>
    <mergeCell ref="M7:M8"/>
    <mergeCell ref="A1:M1"/>
    <mergeCell ref="A2:M2"/>
    <mergeCell ref="A3:M3"/>
    <mergeCell ref="M5:M6"/>
    <mergeCell ref="D5:D6"/>
    <mergeCell ref="F5:F6"/>
    <mergeCell ref="G5:G6"/>
    <mergeCell ref="H5:H6"/>
    <mergeCell ref="I5:I6"/>
    <mergeCell ref="K5:K6"/>
    <mergeCell ref="L5:L6"/>
    <mergeCell ref="A5:A6"/>
    <mergeCell ref="E5:E6"/>
    <mergeCell ref="J5:J6"/>
    <mergeCell ref="B5:C6"/>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zoomScale="60" zoomScaleNormal="60" workbookViewId="0">
      <selection activeCell="F36" sqref="F36"/>
    </sheetView>
  </sheetViews>
  <sheetFormatPr defaultRowHeight="15" x14ac:dyDescent="0.25"/>
  <cols>
    <col min="1" max="1" width="4.5703125" customWidth="1"/>
    <col min="2" max="3" width="19.7109375" customWidth="1"/>
    <col min="4" max="4" width="28.140625" customWidth="1"/>
    <col min="5" max="5" width="37.28515625" style="53" customWidth="1"/>
    <col min="6" max="6" width="24.42578125" style="53" customWidth="1"/>
    <col min="7" max="7" width="37.5703125" style="53" customWidth="1"/>
    <col min="8" max="8" width="41.85546875" style="53" customWidth="1"/>
  </cols>
  <sheetData>
    <row r="1" spans="1:12" x14ac:dyDescent="0.25">
      <c r="A1" s="94" t="s">
        <v>49</v>
      </c>
      <c r="B1" s="94"/>
      <c r="C1" s="94"/>
      <c r="D1" s="94"/>
      <c r="E1" s="94"/>
      <c r="F1" s="94"/>
      <c r="G1" s="94"/>
      <c r="H1" s="94"/>
    </row>
    <row r="2" spans="1:12" x14ac:dyDescent="0.25">
      <c r="A2" s="94" t="s">
        <v>18</v>
      </c>
      <c r="B2" s="94"/>
      <c r="C2" s="94"/>
      <c r="D2" s="94"/>
      <c r="E2" s="94"/>
      <c r="F2" s="94"/>
      <c r="G2" s="94"/>
      <c r="H2" s="94"/>
    </row>
    <row r="3" spans="1:12" x14ac:dyDescent="0.25">
      <c r="A3" s="94" t="s">
        <v>100</v>
      </c>
      <c r="B3" s="94"/>
      <c r="C3" s="94"/>
      <c r="D3" s="94"/>
      <c r="E3" s="94"/>
      <c r="F3" s="94"/>
      <c r="G3" s="94"/>
      <c r="H3" s="94"/>
    </row>
    <row r="5" spans="1:12" ht="63" customHeight="1" x14ac:dyDescent="0.25">
      <c r="A5" s="26" t="s">
        <v>50</v>
      </c>
      <c r="B5" s="26" t="s">
        <v>51</v>
      </c>
      <c r="C5" s="132" t="s">
        <v>52</v>
      </c>
      <c r="D5" s="133"/>
      <c r="E5" s="26" t="s">
        <v>53</v>
      </c>
      <c r="F5" s="27" t="s">
        <v>54</v>
      </c>
      <c r="G5" s="27" t="s">
        <v>55</v>
      </c>
      <c r="H5" s="27" t="s">
        <v>56</v>
      </c>
    </row>
    <row r="6" spans="1:12" ht="99.95" customHeight="1" x14ac:dyDescent="0.25">
      <c r="A6" s="48">
        <v>1</v>
      </c>
      <c r="B6" s="64">
        <f>'Data Kasus Pertanahan 2024'!H7</f>
        <v>0</v>
      </c>
      <c r="C6" s="57" t="str">
        <f>'Data Kasus Pertanahan 2024'!B7</f>
        <v>Pengadu :</v>
      </c>
      <c r="D6" s="58" t="str">
        <f>'Data Kasus Pertanahan 2024'!C7</f>
        <v xml:space="preserve">Lusiana, Dkk.      </v>
      </c>
      <c r="E6" s="136" t="str">
        <f>'Data Kasus Pertanahan 2024'!I7</f>
        <v>Penangguhan atas permohonan pembuatan sertipikat A.N Nurhayati &amp; Ajis Muis</v>
      </c>
      <c r="F6" s="124">
        <f>ENTRY!P2</f>
        <v>0</v>
      </c>
      <c r="G6" s="136" t="str">
        <f>'Data Kasus Pertanahan 2024'!K7</f>
        <v>Kaukus dan Surat Balasan</v>
      </c>
      <c r="H6" s="134"/>
    </row>
    <row r="7" spans="1:12" ht="50.1" customHeight="1" x14ac:dyDescent="0.25">
      <c r="A7" s="47"/>
      <c r="B7" s="65"/>
      <c r="C7" s="49" t="str">
        <f>'Data Kasus Pertanahan 2024'!B8</f>
        <v>Teradu :</v>
      </c>
      <c r="D7" s="50" t="str">
        <f>'Data Kasus Pertanahan 2024'!C8</f>
        <v>Nurhayati dan Ajis Muis</v>
      </c>
      <c r="E7" s="137"/>
      <c r="F7" s="125"/>
      <c r="G7" s="137"/>
      <c r="H7" s="135"/>
    </row>
    <row r="8" spans="1:12" ht="99.95" customHeight="1" x14ac:dyDescent="0.25">
      <c r="A8" s="48">
        <v>2</v>
      </c>
      <c r="B8" s="64">
        <f>'Data Kasus Pertanahan 2024'!H9</f>
        <v>0</v>
      </c>
      <c r="C8" s="57" t="str">
        <f>'Data Kasus Pertanahan 2024'!B9</f>
        <v>Pengadu :</v>
      </c>
      <c r="D8" s="58" t="str">
        <f>'Data Kasus Pertanahan 2024'!C9</f>
        <v xml:space="preserve">Arruan Lempan                               </v>
      </c>
      <c r="E8" s="136" t="str">
        <f>'Data Kasus Pertanahan 2024'!I9</f>
        <v>Keberatan atas penerbitan sertipikat oleh Selfanus Idrus</v>
      </c>
      <c r="F8" s="124">
        <f>ENTRY!P3</f>
        <v>0</v>
      </c>
      <c r="G8" s="136" t="str">
        <f>'Data Kasus Pertanahan 2024'!K9</f>
        <v>Tahapan Penanganan Permen ATR No. 21 Tahun 2020</v>
      </c>
      <c r="H8" s="134"/>
    </row>
    <row r="9" spans="1:12" ht="50.1" customHeight="1" x14ac:dyDescent="0.25">
      <c r="A9" s="47"/>
      <c r="B9" s="65"/>
      <c r="C9" s="59" t="str">
        <f>'Data Kasus Pertanahan 2024'!B10</f>
        <v>Teradu :</v>
      </c>
      <c r="D9" s="50" t="str">
        <f>'Data Kasus Pertanahan 2024'!C10</f>
        <v>Selfanus Idrus</v>
      </c>
      <c r="E9" s="137"/>
      <c r="F9" s="125"/>
      <c r="G9" s="137"/>
      <c r="H9" s="135"/>
    </row>
    <row r="10" spans="1:12" ht="99.95" customHeight="1" x14ac:dyDescent="0.25">
      <c r="A10" s="48">
        <v>3</v>
      </c>
      <c r="B10" s="64">
        <f>'Data Kasus Pertanahan 2024'!H11</f>
        <v>0</v>
      </c>
      <c r="C10" s="57" t="str">
        <f>'Data Kasus Pertanahan 2024'!B11</f>
        <v>Pengadu :</v>
      </c>
      <c r="D10" s="58" t="str">
        <f>'Data Kasus Pertanahan 2024'!C11</f>
        <v xml:space="preserve">Samuel Sude dan Arnice           </v>
      </c>
      <c r="E10" s="136" t="str">
        <f>'Data Kasus Pertanahan 2024'!I11</f>
        <v>Adanya keberatan oleh Demmanggaya Manggetan oleh pendaftaran tanah/sertipikat atas nama Samuel Sude/Arnice</v>
      </c>
      <c r="F10" s="124">
        <f>ENTRY!P4</f>
        <v>0</v>
      </c>
      <c r="G10" s="136" t="str">
        <f>'Data Kasus Pertanahan 2024'!K11</f>
        <v>Penyelesaian oleh Kepala Desa</v>
      </c>
      <c r="H10" s="134"/>
      <c r="L10" t="s">
        <v>57</v>
      </c>
    </row>
    <row r="11" spans="1:12" ht="50.1" customHeight="1" x14ac:dyDescent="0.25">
      <c r="A11" s="47"/>
      <c r="B11" s="65"/>
      <c r="C11" s="59" t="str">
        <f>'Data Kasus Pertanahan 2024'!B12</f>
        <v>Teradu :</v>
      </c>
      <c r="D11" s="50" t="str">
        <f>'Data Kasus Pertanahan 2024'!C12</f>
        <v>Demmanggaya Manggetan</v>
      </c>
      <c r="E11" s="137"/>
      <c r="F11" s="125"/>
      <c r="G11" s="137"/>
      <c r="H11" s="135"/>
    </row>
    <row r="12" spans="1:12" ht="99.95" customHeight="1" x14ac:dyDescent="0.25">
      <c r="A12" s="48">
        <v>4</v>
      </c>
      <c r="B12" s="64">
        <f>'Data Kasus Pertanahan 2024'!H13</f>
        <v>0</v>
      </c>
      <c r="C12" s="57" t="str">
        <f>'Data Kasus Pertanahan 2024'!B13</f>
        <v>Pengadu :</v>
      </c>
      <c r="D12" s="58" t="str">
        <f>'Data Kasus Pertanahan 2024'!C13</f>
        <v xml:space="preserve">Selfanus Idrus Goalangi </v>
      </c>
      <c r="E12" s="136" t="str">
        <f>'Data Kasus Pertanahan 2024'!I13</f>
        <v>Menindaklanjuti sanggahan Indo Arruan Lempan yang menyatak keberatan atas pensertipikatan tanah sawah milik Indo Tasik Karaeng. Padahal sawah itu bukan milik Indo'Arruan Lempan yang telah dijual kepada pihak Ponggalunggu. Apabila tanah milik Indo' Karaeng dihalangi maka kami meminta untuk tidak menerbitkan sertipikat atas nama Ponggalunggu ataupun Langi Kampun</v>
      </c>
      <c r="F12" s="124">
        <f>ENTRY!P5</f>
        <v>0</v>
      </c>
      <c r="G12" s="136" t="str">
        <f>'Data Kasus Pertanahan 2024'!K13</f>
        <v>Tahapan Penanganan Permen ATR No. 21 Tahun 2020</v>
      </c>
      <c r="H12" s="134"/>
    </row>
    <row r="13" spans="1:12" ht="50.1" customHeight="1" x14ac:dyDescent="0.25">
      <c r="A13" s="47"/>
      <c r="B13" s="65"/>
      <c r="C13" s="59" t="str">
        <f>'Data Kasus Pertanahan 2024'!B14</f>
        <v>Teradu :</v>
      </c>
      <c r="D13" s="50" t="str">
        <f>'Data Kasus Pertanahan 2024'!C14</f>
        <v>Ponggalunggu &amp; Langi'Kampun</v>
      </c>
      <c r="E13" s="137"/>
      <c r="F13" s="125"/>
      <c r="G13" s="137"/>
      <c r="H13" s="135"/>
    </row>
    <row r="14" spans="1:12" ht="99.95" customHeight="1" x14ac:dyDescent="0.25">
      <c r="A14" s="48">
        <v>5</v>
      </c>
      <c r="B14" s="64">
        <f>'Data Kasus Pertanahan 2024'!H14</f>
        <v>0</v>
      </c>
      <c r="C14" s="57" t="str">
        <f>'Data Kasus Pertanahan 2024'!B15</f>
        <v>Pengadu :</v>
      </c>
      <c r="D14" s="58" t="str">
        <f>'Data Kasus Pertanahan 2024'!C15</f>
        <v xml:space="preserve">Nasrullah                           </v>
      </c>
      <c r="E14" s="136" t="str">
        <f>'Data Kasus Pertanahan 2024'!I15</f>
        <v>Keberatan atas pengukuran tanah atas nama Najamuddin yang kemudian menjadi dasar penerbitan sertipikat nomor 31.01.16.07.01.00181</v>
      </c>
      <c r="F14" s="124" t="str">
        <f>ENTRY!P6</f>
        <v>Aparat Desa</v>
      </c>
      <c r="G14" s="136">
        <f>'Data Kasus Pertanahan 2024'!K14</f>
        <v>0</v>
      </c>
      <c r="H14" s="134"/>
    </row>
    <row r="15" spans="1:12" ht="50.1" customHeight="1" x14ac:dyDescent="0.25">
      <c r="A15" s="47"/>
      <c r="B15" s="65"/>
      <c r="C15" s="59" t="str">
        <f>'Data Kasus Pertanahan 2024'!B16</f>
        <v>Teradu :</v>
      </c>
      <c r="D15" s="50" t="str">
        <f>'Data Kasus Pertanahan 2024'!C16</f>
        <v>Najamuddin</v>
      </c>
      <c r="E15" s="137"/>
      <c r="F15" s="125"/>
      <c r="G15" s="137"/>
      <c r="H15" s="135"/>
    </row>
    <row r="16" spans="1:12" ht="99.95" customHeight="1" x14ac:dyDescent="0.25">
      <c r="A16" s="48">
        <v>6</v>
      </c>
      <c r="B16" s="64">
        <f>'Data Kasus Pertanahan 2024'!H16</f>
        <v>0</v>
      </c>
      <c r="C16" s="57" t="str">
        <f>'Data Kasus Pertanahan 2024'!B17</f>
        <v>Pengadu :</v>
      </c>
      <c r="D16" s="58" t="str">
        <f>'Data Kasus Pertanahan 2024'!C17</f>
        <v>Deppasulle Arruan Linggi</v>
      </c>
      <c r="E16" s="136" t="str">
        <f>'Data Kasus Pertanahan 2024'!I17</f>
        <v>Pencegahan agar tidak melayani pengukuran tanah atau penerbitan sertipikat tanah oleh pihak manapun, terkhusus Sdr. Daen Malewa &amp; Sdr. Deppasulle alias Sulle</v>
      </c>
      <c r="F16" s="124">
        <f>ENTRY!P7</f>
        <v>0</v>
      </c>
      <c r="G16" s="136">
        <f>'Data Kasus Pertanahan 2024'!K16</f>
        <v>0</v>
      </c>
      <c r="H16" s="134"/>
    </row>
    <row r="17" spans="1:8" ht="50.1" customHeight="1" x14ac:dyDescent="0.25">
      <c r="A17" s="47"/>
      <c r="B17" s="65"/>
      <c r="C17" s="59" t="str">
        <f>'Data Kasus Pertanahan 2024'!B18</f>
        <v>Teradu :</v>
      </c>
      <c r="D17" s="50" t="str">
        <f>'Data Kasus Pertanahan 2024'!C18</f>
        <v>Daen Malewa &amp; Deppasulle alias Sulle</v>
      </c>
      <c r="E17" s="137"/>
      <c r="F17" s="125"/>
      <c r="G17" s="137"/>
      <c r="H17" s="135"/>
    </row>
    <row r="18" spans="1:8" ht="99.95" customHeight="1" x14ac:dyDescent="0.25">
      <c r="A18" s="48">
        <v>7</v>
      </c>
      <c r="B18" s="64">
        <f>'Data Kasus Pertanahan 2024'!H17</f>
        <v>0</v>
      </c>
      <c r="C18" s="57" t="str">
        <f>'Data Kasus Pertanahan 2024'!B19</f>
        <v>Pengadu :</v>
      </c>
      <c r="D18" s="58" t="str">
        <f>'Data Kasus Pertanahan 2024'!C19</f>
        <v>Paonganan</v>
      </c>
      <c r="E18" s="136" t="str">
        <f>'Data Kasus Pertanahan 2024'!I19</f>
        <v>Keberatan atas pengukuran tanah atas nama Petrus oleh tim BPN Mamasa, serta pencegahan penerbitan sertpikat hak milik atas nama Petrus</v>
      </c>
      <c r="F18" s="124">
        <f>ENTRY!P8</f>
        <v>0</v>
      </c>
      <c r="G18" s="124">
        <f>'Data Kasus Pertanahan 2024'!K17</f>
        <v>0</v>
      </c>
      <c r="H18" s="122"/>
    </row>
    <row r="19" spans="1:8" ht="50.1" customHeight="1" x14ac:dyDescent="0.25">
      <c r="A19" s="47"/>
      <c r="B19" s="65"/>
      <c r="C19" s="49" t="str">
        <f>'Data Kasus Pertanahan 2024'!B20</f>
        <v>Teradu :</v>
      </c>
      <c r="D19" s="60" t="str">
        <f>'Data Kasus Pertanahan 2024'!C20</f>
        <v>Petrus, Limbong Gayang</v>
      </c>
      <c r="E19" s="137"/>
      <c r="F19" s="125"/>
      <c r="G19" s="125"/>
      <c r="H19" s="123"/>
    </row>
    <row r="20" spans="1:8" ht="99.95" customHeight="1" x14ac:dyDescent="0.25">
      <c r="A20" s="48">
        <v>8</v>
      </c>
      <c r="B20" s="64">
        <f>'Data Kasus Pertanahan 2024'!H19</f>
        <v>0</v>
      </c>
      <c r="C20" s="57" t="str">
        <f>'Data Kasus Pertanahan 2024'!B21</f>
        <v>Pengadu :</v>
      </c>
      <c r="D20" s="58" t="str">
        <f>'Data Kasus Pertanahan 2024'!C21</f>
        <v>Bongga Malillin, Dkk</v>
      </c>
      <c r="E20" s="136">
        <f>'Data Kasus Pertanahan 2024'!I21</f>
        <v>0</v>
      </c>
      <c r="F20" s="124">
        <f>ENTRY!P9</f>
        <v>0</v>
      </c>
      <c r="G20" s="124">
        <f>'Data Kasus Pertanahan 2024'!K19</f>
        <v>0</v>
      </c>
      <c r="H20" s="122"/>
    </row>
    <row r="21" spans="1:8" ht="50.1" customHeight="1" x14ac:dyDescent="0.25">
      <c r="A21" s="47"/>
      <c r="B21" s="65"/>
      <c r="C21" s="59" t="str">
        <f>'Data Kasus Pertanahan 2024'!B22</f>
        <v>Teradu :</v>
      </c>
      <c r="D21" s="50" t="str">
        <f>'Data Kasus Pertanahan 2024'!C22</f>
        <v>Pattakarua, Marlina, Daud, Harlis Pranata, Abner, Rosdawati &amp; Natalia</v>
      </c>
      <c r="E21" s="137"/>
      <c r="F21" s="125"/>
      <c r="G21" s="125"/>
      <c r="H21" s="123"/>
    </row>
    <row r="22" spans="1:8" ht="99.95" customHeight="1" x14ac:dyDescent="0.25">
      <c r="A22" s="48">
        <v>9</v>
      </c>
      <c r="B22" s="64">
        <f>'Data Kasus Pertanahan 2024'!H20</f>
        <v>0</v>
      </c>
      <c r="C22" s="57" t="str">
        <f>'Data Kasus Pertanahan 2024'!B23</f>
        <v>Pengadu :</v>
      </c>
      <c r="D22" s="58" t="str">
        <f>'Data Kasus Pertanahan 2024'!C23</f>
        <v>Levinus</v>
      </c>
      <c r="E22" s="136">
        <f>'Data Kasus Pertanahan 2024'!I23</f>
        <v>0</v>
      </c>
      <c r="F22" s="124">
        <f>ENTRY!P10</f>
        <v>0</v>
      </c>
      <c r="G22" s="122">
        <f>'Data Kasus Pertanahan 2024'!K20</f>
        <v>0</v>
      </c>
      <c r="H22" s="122"/>
    </row>
    <row r="23" spans="1:8" ht="50.1" customHeight="1" x14ac:dyDescent="0.25">
      <c r="A23" s="47"/>
      <c r="B23" s="65"/>
      <c r="C23" s="49" t="str">
        <f>'Data Kasus Pertanahan 2024'!B24</f>
        <v>Teradu :</v>
      </c>
      <c r="D23" s="50" t="str">
        <f>'Data Kasus Pertanahan 2024'!C24</f>
        <v>Dominggus</v>
      </c>
      <c r="E23" s="137"/>
      <c r="F23" s="125"/>
      <c r="G23" s="123"/>
      <c r="H23" s="123"/>
    </row>
    <row r="24" spans="1:8" ht="99.95" customHeight="1" x14ac:dyDescent="0.25">
      <c r="A24" s="48">
        <v>10</v>
      </c>
      <c r="B24" s="64">
        <f>'Data Kasus Pertanahan 2024'!H23</f>
        <v>0</v>
      </c>
      <c r="C24" s="57" t="str">
        <f>'Data Kasus Pertanahan 2024'!B25</f>
        <v>Pengadu :</v>
      </c>
      <c r="D24" s="58" t="str">
        <f>'Data Kasus Pertanahan 2024'!C25</f>
        <v>Deppabala</v>
      </c>
      <c r="E24" s="136">
        <f>'Data Kasus Pertanahan 2024'!I25</f>
        <v>0</v>
      </c>
      <c r="F24" s="124">
        <f>ENTRY!P11</f>
        <v>0</v>
      </c>
      <c r="G24" s="122">
        <f>'Data Kasus Pertanahan 2024'!K23</f>
        <v>0</v>
      </c>
      <c r="H24" s="122"/>
    </row>
    <row r="25" spans="1:8" ht="50.1" customHeight="1" x14ac:dyDescent="0.25">
      <c r="A25" s="47"/>
      <c r="B25" s="65"/>
      <c r="C25" s="49" t="str">
        <f>'Data Kasus Pertanahan 2024'!B26</f>
        <v>Teradu :</v>
      </c>
      <c r="D25" s="50" t="str">
        <f>'Data Kasus Pertanahan 2024'!C26</f>
        <v>Arruan Paillin</v>
      </c>
      <c r="E25" s="137"/>
      <c r="F25" s="125"/>
      <c r="G25" s="123"/>
      <c r="H25" s="123"/>
    </row>
    <row r="26" spans="1:8" ht="99.95" customHeight="1" x14ac:dyDescent="0.25">
      <c r="A26" s="48">
        <v>11</v>
      </c>
      <c r="B26" s="68">
        <f>'Data Kasus Pertanahan 2024'!H23</f>
        <v>0</v>
      </c>
      <c r="C26" s="57" t="str">
        <f>'Data Kasus Pertanahan 2024'!B27</f>
        <v>Pengadu :</v>
      </c>
      <c r="D26" s="58">
        <f>'Data Kasus Pertanahan 2024'!C27</f>
        <v>0</v>
      </c>
      <c r="E26" s="136">
        <f>'Data Kasus Pertanahan 2024'!I27</f>
        <v>0</v>
      </c>
      <c r="F26" s="124">
        <f>ENTRY!P12</f>
        <v>0</v>
      </c>
      <c r="G26" s="122">
        <f>'Data Kasus Pertanahan 2024'!K23</f>
        <v>0</v>
      </c>
      <c r="H26" s="124" t="s">
        <v>58</v>
      </c>
    </row>
    <row r="27" spans="1:8" ht="50.1" customHeight="1" x14ac:dyDescent="0.25">
      <c r="A27" s="47"/>
      <c r="B27" s="69"/>
      <c r="C27" s="59" t="str">
        <f>'Data Kasus Pertanahan 2024'!B28</f>
        <v>Teradu :</v>
      </c>
      <c r="D27" s="60">
        <f>'Data Kasus Pertanahan 2024'!C28</f>
        <v>0</v>
      </c>
      <c r="E27" s="137"/>
      <c r="F27" s="125"/>
      <c r="G27" s="123"/>
      <c r="H27" s="125"/>
    </row>
    <row r="28" spans="1:8" ht="99.95" customHeight="1" x14ac:dyDescent="0.25">
      <c r="A28" s="48">
        <v>12</v>
      </c>
      <c r="B28" s="68">
        <f>'Data Kasus Pertanahan 2024'!H25</f>
        <v>0</v>
      </c>
      <c r="C28" s="57" t="str">
        <f>'Data Kasus Pertanahan 2024'!B29</f>
        <v>Pengadu :</v>
      </c>
      <c r="D28" s="58">
        <f>'Data Kasus Pertanahan 2024'!C29</f>
        <v>0</v>
      </c>
      <c r="E28" s="136">
        <f>'Data Kasus Pertanahan 2024'!I29</f>
        <v>0</v>
      </c>
      <c r="F28" s="124">
        <f>ENTRY!P13</f>
        <v>0</v>
      </c>
      <c r="G28" s="122">
        <f>'Data Kasus Pertanahan 2024'!K25</f>
        <v>0</v>
      </c>
      <c r="H28" s="122"/>
    </row>
    <row r="29" spans="1:8" ht="50.1" customHeight="1" x14ac:dyDescent="0.25">
      <c r="A29" s="47"/>
      <c r="B29" s="69"/>
      <c r="C29" s="59" t="str">
        <f>'Data Kasus Pertanahan 2024'!B30</f>
        <v>Teradu :</v>
      </c>
      <c r="D29" s="60">
        <f>'Data Kasus Pertanahan 2024'!C30</f>
        <v>0</v>
      </c>
      <c r="E29" s="137"/>
      <c r="F29" s="125"/>
      <c r="G29" s="123"/>
      <c r="H29" s="123"/>
    </row>
    <row r="30" spans="1:8" ht="99.95" customHeight="1" x14ac:dyDescent="0.25">
      <c r="A30" s="48">
        <v>13</v>
      </c>
      <c r="B30" s="66">
        <f>'Data Kasus Pertanahan 2024'!H26</f>
        <v>0</v>
      </c>
      <c r="C30" s="57" t="str">
        <f>'Data Kasus Pertanahan 2024'!B31</f>
        <v>Pengadu :</v>
      </c>
      <c r="D30" s="58">
        <f>'Data Kasus Pertanahan 2024'!C31</f>
        <v>0</v>
      </c>
      <c r="E30" s="136">
        <f>'Data Kasus Pertanahan 2024'!I31</f>
        <v>0</v>
      </c>
      <c r="F30" s="124">
        <f>ENTRY!P14</f>
        <v>0</v>
      </c>
      <c r="G30" s="134">
        <f>'Data Kasus Pertanahan 2024'!K26</f>
        <v>0</v>
      </c>
      <c r="H30" s="136">
        <f>'Data Kasus Pertanahan 2024'!M26</f>
        <v>0</v>
      </c>
    </row>
    <row r="31" spans="1:8" ht="50.1" customHeight="1" x14ac:dyDescent="0.25">
      <c r="A31" s="47"/>
      <c r="B31" s="67"/>
      <c r="C31" s="49" t="str">
        <f>'Data Kasus Pertanahan 2024'!B32</f>
        <v>Teradu :</v>
      </c>
      <c r="D31" s="60">
        <f>'Data Kasus Pertanahan 2024'!C32</f>
        <v>0</v>
      </c>
      <c r="E31" s="137"/>
      <c r="F31" s="125"/>
      <c r="G31" s="135"/>
      <c r="H31" s="137"/>
    </row>
    <row r="32" spans="1:8" ht="99.95" customHeight="1" x14ac:dyDescent="0.25">
      <c r="A32" s="48">
        <v>14</v>
      </c>
      <c r="B32" s="66">
        <f>'Data Kasus Pertanahan 2024'!H28</f>
        <v>0</v>
      </c>
      <c r="C32" s="57" t="str">
        <f>'Data Kasus Pertanahan 2024'!B33</f>
        <v>Pengadu :</v>
      </c>
      <c r="D32" s="58">
        <f>'Data Kasus Pertanahan 2024'!C33</f>
        <v>0</v>
      </c>
      <c r="E32" s="136">
        <f>'Data Kasus Pertanahan 2024'!I33</f>
        <v>0</v>
      </c>
      <c r="F32" s="124">
        <f>ENTRY!P15</f>
        <v>0</v>
      </c>
      <c r="G32" s="134">
        <f>'Data Kasus Pertanahan 2024'!K28</f>
        <v>0</v>
      </c>
      <c r="H32" s="134"/>
    </row>
    <row r="33" spans="1:8" ht="50.1" customHeight="1" x14ac:dyDescent="0.25">
      <c r="A33" s="47"/>
      <c r="B33" s="67"/>
      <c r="C33" s="59" t="str">
        <f>'Data Kasus Pertanahan 2024'!B34</f>
        <v>Teradu :</v>
      </c>
      <c r="D33" s="50">
        <f>'Data Kasus Pertanahan 2024'!C34</f>
        <v>0</v>
      </c>
      <c r="E33" s="137"/>
      <c r="F33" s="125"/>
      <c r="G33" s="135"/>
      <c r="H33" s="135"/>
    </row>
    <row r="34" spans="1:8" ht="99.95" customHeight="1" x14ac:dyDescent="0.25">
      <c r="A34" s="48">
        <v>15</v>
      </c>
      <c r="B34" s="66">
        <f>'Data Kasus Pertanahan 2024'!H29</f>
        <v>0</v>
      </c>
      <c r="C34" s="57" t="str">
        <f>'Data Kasus Pertanahan 2024'!B35</f>
        <v>Pengadu :</v>
      </c>
      <c r="D34" s="58">
        <f>'Data Kasus Pertanahan 2024'!C35</f>
        <v>0</v>
      </c>
      <c r="E34" s="136">
        <f>'Data Kasus Pertanahan 2024'!I35</f>
        <v>0</v>
      </c>
      <c r="F34" s="124">
        <f>ENTRY!P16</f>
        <v>0</v>
      </c>
      <c r="G34" s="134">
        <f>'Data Kasus Pertanahan 2024'!K29</f>
        <v>0</v>
      </c>
      <c r="H34" s="136">
        <f>'Data Kasus Pertanahan 2024'!M29</f>
        <v>0</v>
      </c>
    </row>
    <row r="35" spans="1:8" ht="50.1" customHeight="1" x14ac:dyDescent="0.25">
      <c r="A35" s="47"/>
      <c r="B35" s="67"/>
      <c r="C35" s="59" t="str">
        <f>'Data Kasus Pertanahan 2024'!B36</f>
        <v>Teradu :</v>
      </c>
      <c r="D35" s="50">
        <f>'Data Kasus Pertanahan 2024'!C36</f>
        <v>0</v>
      </c>
      <c r="E35" s="137"/>
      <c r="F35" s="125"/>
      <c r="G35" s="135"/>
      <c r="H35" s="137"/>
    </row>
    <row r="36" spans="1:8" x14ac:dyDescent="0.25">
      <c r="A36" s="36"/>
    </row>
  </sheetData>
  <mergeCells count="64">
    <mergeCell ref="E28:E29"/>
    <mergeCell ref="F28:F29"/>
    <mergeCell ref="G28:G29"/>
    <mergeCell ref="H28:H29"/>
    <mergeCell ref="F34:F35"/>
    <mergeCell ref="F32:F33"/>
    <mergeCell ref="F30:F31"/>
    <mergeCell ref="E34:E35"/>
    <mergeCell ref="E32:E33"/>
    <mergeCell ref="E30:E31"/>
    <mergeCell ref="H34:H35"/>
    <mergeCell ref="H32:H33"/>
    <mergeCell ref="H30:H31"/>
    <mergeCell ref="G34:G35"/>
    <mergeCell ref="G32:G33"/>
    <mergeCell ref="G30:G31"/>
    <mergeCell ref="E14:E15"/>
    <mergeCell ref="F14:F15"/>
    <mergeCell ref="G14:G15"/>
    <mergeCell ref="H14:H15"/>
    <mergeCell ref="H12:H13"/>
    <mergeCell ref="G12:G13"/>
    <mergeCell ref="F12:F13"/>
    <mergeCell ref="E12:E13"/>
    <mergeCell ref="E18:E19"/>
    <mergeCell ref="F18:F19"/>
    <mergeCell ref="G18:G19"/>
    <mergeCell ref="H18:H19"/>
    <mergeCell ref="H16:H17"/>
    <mergeCell ref="G16:G17"/>
    <mergeCell ref="F16:F17"/>
    <mergeCell ref="E16:E17"/>
    <mergeCell ref="E22:E23"/>
    <mergeCell ref="F22:F23"/>
    <mergeCell ref="G22:G23"/>
    <mergeCell ref="H22:H23"/>
    <mergeCell ref="H20:H21"/>
    <mergeCell ref="G20:G21"/>
    <mergeCell ref="F20:F21"/>
    <mergeCell ref="E20:E21"/>
    <mergeCell ref="E26:E27"/>
    <mergeCell ref="F26:F27"/>
    <mergeCell ref="G26:G27"/>
    <mergeCell ref="H26:H27"/>
    <mergeCell ref="H24:H25"/>
    <mergeCell ref="G24:G25"/>
    <mergeCell ref="F24:F25"/>
    <mergeCell ref="E24:E25"/>
    <mergeCell ref="A1:H1"/>
    <mergeCell ref="A2:H2"/>
    <mergeCell ref="A3:H3"/>
    <mergeCell ref="C5:D5"/>
    <mergeCell ref="H10:H11"/>
    <mergeCell ref="H8:H9"/>
    <mergeCell ref="H6:H7"/>
    <mergeCell ref="G10:G11"/>
    <mergeCell ref="G8:G9"/>
    <mergeCell ref="G6:G7"/>
    <mergeCell ref="F10:F11"/>
    <mergeCell ref="F8:F9"/>
    <mergeCell ref="F6:F7"/>
    <mergeCell ref="E10:E11"/>
    <mergeCell ref="E8:E9"/>
    <mergeCell ref="E6:E7"/>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workbookViewId="0">
      <selection activeCell="L12" sqref="L12"/>
    </sheetView>
  </sheetViews>
  <sheetFormatPr defaultRowHeight="15" x14ac:dyDescent="0.25"/>
  <cols>
    <col min="1" max="1" width="5.5703125" customWidth="1"/>
    <col min="2" max="2" width="26.42578125" bestFit="1" customWidth="1"/>
    <col min="3" max="5" width="15.42578125" bestFit="1" customWidth="1"/>
    <col min="6" max="6" width="17" bestFit="1" customWidth="1"/>
    <col min="7" max="7" width="13" bestFit="1" customWidth="1"/>
  </cols>
  <sheetData>
    <row r="1" spans="1:7" x14ac:dyDescent="0.25">
      <c r="A1" s="138" t="s">
        <v>17</v>
      </c>
      <c r="B1" s="138"/>
      <c r="C1" s="138"/>
      <c r="D1" s="138"/>
      <c r="E1" s="138"/>
      <c r="F1" s="138"/>
      <c r="G1" s="138"/>
    </row>
    <row r="2" spans="1:7" x14ac:dyDescent="0.25">
      <c r="A2" s="138" t="s">
        <v>18</v>
      </c>
      <c r="B2" s="138"/>
      <c r="C2" s="138"/>
      <c r="D2" s="138"/>
      <c r="E2" s="138"/>
      <c r="F2" s="138"/>
      <c r="G2" s="138"/>
    </row>
    <row r="3" spans="1:7" x14ac:dyDescent="0.25">
      <c r="A3" s="138" t="s">
        <v>100</v>
      </c>
      <c r="B3" s="138"/>
      <c r="C3" s="138"/>
      <c r="D3" s="138"/>
      <c r="E3" s="138"/>
      <c r="F3" s="138"/>
      <c r="G3" s="138"/>
    </row>
    <row r="4" spans="1:7" ht="15.75" thickBot="1" x14ac:dyDescent="0.3">
      <c r="A4" s="7"/>
      <c r="B4" s="7"/>
      <c r="C4" s="7"/>
      <c r="D4" s="7"/>
      <c r="E4" s="7"/>
      <c r="F4" s="7"/>
      <c r="G4" s="7"/>
    </row>
    <row r="5" spans="1:7" ht="15.75" thickBot="1" x14ac:dyDescent="0.3">
      <c r="A5" s="8"/>
      <c r="B5" s="139" t="s">
        <v>19</v>
      </c>
      <c r="C5" s="140"/>
      <c r="D5" s="140"/>
      <c r="E5" s="140"/>
      <c r="F5" s="140"/>
      <c r="G5" s="141"/>
    </row>
    <row r="6" spans="1:7" x14ac:dyDescent="0.25">
      <c r="A6" s="9" t="s">
        <v>20</v>
      </c>
      <c r="B6" s="142" t="s">
        <v>21</v>
      </c>
      <c r="C6" s="10" t="s">
        <v>22</v>
      </c>
      <c r="D6" s="10" t="s">
        <v>22</v>
      </c>
      <c r="E6" s="10" t="s">
        <v>23</v>
      </c>
      <c r="F6" s="10" t="s">
        <v>24</v>
      </c>
      <c r="G6" s="10" t="s">
        <v>25</v>
      </c>
    </row>
    <row r="7" spans="1:7" ht="15.75" thickBot="1" x14ac:dyDescent="0.3">
      <c r="A7" s="11"/>
      <c r="B7" s="143"/>
      <c r="C7" s="12" t="s">
        <v>26</v>
      </c>
      <c r="D7" s="12" t="s">
        <v>27</v>
      </c>
      <c r="E7" s="12" t="s">
        <v>28</v>
      </c>
      <c r="F7" s="12" t="s">
        <v>27</v>
      </c>
      <c r="G7" s="12" t="s">
        <v>29</v>
      </c>
    </row>
    <row r="8" spans="1:7" ht="15.75" thickBot="1" x14ac:dyDescent="0.3">
      <c r="A8" s="13">
        <v>1</v>
      </c>
      <c r="B8" s="14" t="s">
        <v>30</v>
      </c>
      <c r="C8" s="15">
        <f>COUNTIF(ENTRY!G2:G30,'TREND KASUS'!B8)</f>
        <v>0</v>
      </c>
      <c r="D8" s="15">
        <f>COUNTIF(ENTRY!H2:H30,'TREND KASUS'!B8)</f>
        <v>0</v>
      </c>
      <c r="E8" s="15">
        <f>COUNTIF(ENTRY!I2:I30,'TREND KASUS'!B8)</f>
        <v>0</v>
      </c>
      <c r="F8" s="15">
        <f>COUNTIF(ENTRY!J2:J30,'TREND KASUS'!B8)</f>
        <v>0</v>
      </c>
      <c r="G8" s="15">
        <f>COUNTIF(ENTRY!K2:K30,'TREND KASUS'!B8)</f>
        <v>0</v>
      </c>
    </row>
    <row r="9" spans="1:7" ht="15.75" thickBot="1" x14ac:dyDescent="0.3">
      <c r="A9" s="13">
        <v>2</v>
      </c>
      <c r="B9" s="14" t="s">
        <v>31</v>
      </c>
      <c r="C9" s="15">
        <f>COUNTIF(ENTRY!G2:G30,'TREND KASUS'!B9)</f>
        <v>0</v>
      </c>
      <c r="D9" s="15">
        <f>COUNTIF(ENTRY!H2:H30,'TREND KASUS'!B9)</f>
        <v>0</v>
      </c>
      <c r="E9" s="15">
        <f>COUNTIF(ENTRY!I2:I30,'TREND KASUS'!B9)</f>
        <v>0</v>
      </c>
      <c r="F9" s="15">
        <f>COUNTIF(ENTRY!J2:J30,'TREND KASUS'!B9)</f>
        <v>0</v>
      </c>
      <c r="G9" s="15">
        <f>COUNTIF(ENTRY!K2:K30,'TREND KASUS'!B9)</f>
        <v>0</v>
      </c>
    </row>
    <row r="10" spans="1:7" ht="15.75" thickBot="1" x14ac:dyDescent="0.3">
      <c r="A10" s="16">
        <v>3</v>
      </c>
      <c r="B10" s="17" t="s">
        <v>32</v>
      </c>
      <c r="C10" s="15">
        <f>COUNTIF(ENTRY!G2:G30,'TREND KASUS'!B10)</f>
        <v>0</v>
      </c>
      <c r="D10" s="15">
        <f>COUNTIF(ENTRY!H2:H30,'TREND KASUS'!B10)</f>
        <v>0</v>
      </c>
      <c r="E10" s="18">
        <f>COUNTIF(ENTRY!I2:I30,'TREND KASUS'!B10)</f>
        <v>0</v>
      </c>
      <c r="F10" s="15">
        <f>COUNTIF(ENTRY!J2:J30,'TREND KASUS'!B10)</f>
        <v>0</v>
      </c>
      <c r="G10" s="15">
        <f>COUNTIF(ENTRY!K2:K30,'TREND KASUS'!B10)</f>
        <v>0</v>
      </c>
    </row>
    <row r="11" spans="1:7" ht="15.75" thickBot="1" x14ac:dyDescent="0.3">
      <c r="A11" s="19">
        <v>4</v>
      </c>
      <c r="B11" s="20" t="s">
        <v>33</v>
      </c>
      <c r="C11" s="15">
        <f>COUNTIF(ENTRY!G2:G30,'TREND KASUS'!B11)</f>
        <v>0</v>
      </c>
      <c r="D11" s="15">
        <f>COUNTIF(ENTRY!H2:H30,'TREND KASUS'!B11)</f>
        <v>0</v>
      </c>
      <c r="E11" s="21">
        <f>COUNTIF(ENTRY!I2:I30,'TREND KASUS'!B11)</f>
        <v>0</v>
      </c>
      <c r="F11" s="15">
        <f>COUNTIF(ENTRY!J2:J30,'TREND KASUS'!B11)</f>
        <v>0</v>
      </c>
      <c r="G11" s="15">
        <f>COUNTIF(ENTRY!K2:K30,'TREND KASUS'!B11)</f>
        <v>0</v>
      </c>
    </row>
    <row r="12" spans="1:7" ht="15.75" thickBot="1" x14ac:dyDescent="0.3">
      <c r="A12" s="19">
        <v>5</v>
      </c>
      <c r="B12" s="20" t="s">
        <v>34</v>
      </c>
      <c r="C12" s="15">
        <f>COUNTIF(ENTRY!G2:G30,'TREND KASUS'!B12)</f>
        <v>0</v>
      </c>
      <c r="D12" s="15">
        <f>COUNTIF(ENTRY!H2:H30,'TREND KASUS'!B12)</f>
        <v>0</v>
      </c>
      <c r="E12" s="37">
        <f>COUNTIF(ENTRY!I2:I30,'TREND KASUS'!B12)</f>
        <v>0</v>
      </c>
      <c r="F12" s="15">
        <f>COUNTIF(ENTRY!J2:J30,'TREND KASUS'!B12)</f>
        <v>0</v>
      </c>
      <c r="G12" s="15">
        <f>COUNTIF(ENTRY!K2:K30,'TREND KASUS'!B12)</f>
        <v>0</v>
      </c>
    </row>
    <row r="13" spans="1:7" ht="15.75" thickBot="1" x14ac:dyDescent="0.3">
      <c r="A13" s="13">
        <v>6</v>
      </c>
      <c r="B13" s="14" t="s">
        <v>35</v>
      </c>
      <c r="C13" s="15">
        <f>COUNTIF(ENTRY!G2:G30,'TREND KASUS'!B13)</f>
        <v>0</v>
      </c>
      <c r="D13" s="15">
        <f>COUNTIF(ENTRY!H2:H30,'TREND KASUS'!B13)</f>
        <v>0</v>
      </c>
      <c r="E13" s="38">
        <f>COUNTIF(ENTRY!I2:I30,'TREND KASUS'!B13)</f>
        <v>0</v>
      </c>
      <c r="F13" s="15">
        <f>COUNTIF(ENTRY!J2:J30,'TREND KASUS'!B13)</f>
        <v>0</v>
      </c>
      <c r="G13" s="15">
        <f>COUNTIF(ENTRY!K2:K30,'TREND KASUS'!B13)</f>
        <v>0</v>
      </c>
    </row>
    <row r="14" spans="1:7" ht="15.75" thickBot="1" x14ac:dyDescent="0.3">
      <c r="A14" s="13">
        <v>7</v>
      </c>
      <c r="B14" s="14" t="s">
        <v>36</v>
      </c>
      <c r="C14" s="15">
        <f>COUNTIF(ENTRY!G2:G30,'TREND KASUS'!B17)</f>
        <v>0</v>
      </c>
      <c r="D14" s="15">
        <f>COUNTIF(ENTRY!H2:H30,'TREND KASUS'!B14)</f>
        <v>0</v>
      </c>
      <c r="E14" s="38">
        <f>COUNTIF(ENTRY!I2:I30,'TREND KASUS'!B14)</f>
        <v>0</v>
      </c>
      <c r="F14" s="15">
        <f>COUNTIF(ENTRY!J2:J30,'TREND KASUS'!B14)</f>
        <v>0</v>
      </c>
      <c r="G14" s="15">
        <f>COUNTIF(ENTRY!K2:K30,'TREND KASUS'!B14)</f>
        <v>0</v>
      </c>
    </row>
    <row r="15" spans="1:7" ht="15.75" thickBot="1" x14ac:dyDescent="0.3">
      <c r="A15" s="13">
        <v>8</v>
      </c>
      <c r="B15" s="14" t="s">
        <v>37</v>
      </c>
      <c r="C15" s="15">
        <f>COUNTIF(ENTRY!G2:G30,'TREND KASUS'!B15)</f>
        <v>0</v>
      </c>
      <c r="D15" s="15">
        <f>COUNTIF(ENTRY!H2:H30,'TREND KASUS'!B15)</f>
        <v>0</v>
      </c>
      <c r="E15" s="38">
        <f>COUNTIF(ENTRY!I2:I30,'TREND KASUS'!B15)</f>
        <v>0</v>
      </c>
      <c r="F15" s="15">
        <f>COUNTIF(ENTRY!J2:J30,'TREND KASUS'!B15)</f>
        <v>0</v>
      </c>
      <c r="G15" s="15">
        <f>COUNTIF(ENTRY!K2:K30,'TREND KASUS'!B15)</f>
        <v>0</v>
      </c>
    </row>
    <row r="16" spans="1:7" ht="15.75" thickBot="1" x14ac:dyDescent="0.3">
      <c r="A16" s="13">
        <v>9</v>
      </c>
      <c r="B16" s="14" t="s">
        <v>38</v>
      </c>
      <c r="C16" s="15">
        <f>COUNTIF(ENTRY!G2:G30,'TREND KASUS'!B16)</f>
        <v>0</v>
      </c>
      <c r="D16" s="15">
        <f>COUNTIF(ENTRY!H2:H30,'TREND KASUS'!B16)</f>
        <v>0</v>
      </c>
      <c r="E16" s="38">
        <f>COUNTIF(ENTRY!I2:I30,'TREND KASUS'!B16)</f>
        <v>0</v>
      </c>
      <c r="F16" s="15">
        <f>COUNTIF(ENTRY!J2:J30,'TREND KASUS'!B16)</f>
        <v>0</v>
      </c>
      <c r="G16" s="15">
        <f>COUNTIF(ENTRY!K2:K30,'TREND KASUS'!B16)</f>
        <v>0</v>
      </c>
    </row>
    <row r="17" spans="1:7" ht="15.75" thickBot="1" x14ac:dyDescent="0.3">
      <c r="A17" s="13">
        <v>10</v>
      </c>
      <c r="B17" s="14" t="s">
        <v>39</v>
      </c>
      <c r="C17" s="15">
        <f>COUNTIF(ENTRY!G2:G30,'TREND KASUS'!B17)</f>
        <v>0</v>
      </c>
      <c r="D17" s="15">
        <f>COUNTIF(ENTRY!H2:H30,'TREND KASUS'!B17)</f>
        <v>0</v>
      </c>
      <c r="E17" s="38">
        <f>COUNTIF(ENTRY!I2:I30,'TREND KASUS'!B17)</f>
        <v>0</v>
      </c>
      <c r="F17" s="15">
        <f>COUNTIF(ENTRY!J2:J30,'TREND KASUS'!B17)</f>
        <v>0</v>
      </c>
      <c r="G17" s="15">
        <f>COUNTIF(ENTRY!K2:K30,'TREND KASUS'!B17)</f>
        <v>0</v>
      </c>
    </row>
    <row r="18" spans="1:7" ht="15.75" thickBot="1" x14ac:dyDescent="0.3">
      <c r="A18" s="13">
        <v>11</v>
      </c>
      <c r="B18" s="14" t="s">
        <v>40</v>
      </c>
      <c r="C18" s="15">
        <f>COUNTIF(ENTRY!G2:G30,'TREND KASUS'!B18)</f>
        <v>10</v>
      </c>
      <c r="D18" s="15">
        <f>COUNTIF(ENTRY!H2:H30,'TREND KASUS'!B18)</f>
        <v>0</v>
      </c>
      <c r="E18" s="38">
        <f>COUNTIF(ENTRY!I2:I30,'TREND KASUS'!B18)</f>
        <v>0</v>
      </c>
      <c r="F18" s="15">
        <f>COUNTIF(ENTRY!J2:J30,'TREND KASUS'!B18)</f>
        <v>0</v>
      </c>
      <c r="G18" s="15">
        <f>COUNTIF(ENTRY!K2:K30,'TREND KASUS'!B18)</f>
        <v>0</v>
      </c>
    </row>
    <row r="19" spans="1:7" ht="15.75" thickBot="1" x14ac:dyDescent="0.3">
      <c r="A19" s="22"/>
      <c r="B19" s="12" t="s">
        <v>41</v>
      </c>
      <c r="C19" s="23">
        <f>SUM(C8:C18)</f>
        <v>10</v>
      </c>
      <c r="D19" s="24"/>
      <c r="E19" s="23"/>
      <c r="F19" s="24"/>
      <c r="G19" s="24"/>
    </row>
  </sheetData>
  <mergeCells count="5">
    <mergeCell ref="A1:G1"/>
    <mergeCell ref="A2:G2"/>
    <mergeCell ref="A3:G3"/>
    <mergeCell ref="B5:G5"/>
    <mergeCell ref="B6: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ENTRY</vt:lpstr>
      <vt:lpstr>TAHUN 2024</vt:lpstr>
      <vt:lpstr>Data Kasus Pertanahan 2024</vt:lpstr>
      <vt:lpstr>Resume Pemetaan</vt:lpstr>
      <vt:lpstr>TREND KASUS</vt:lpstr>
    </vt:vector>
  </TitlesOfParts>
  <Company>home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ismail - [2010]</cp:lastModifiedBy>
  <cp:lastPrinted>2024-01-10T09:31:42Z</cp:lastPrinted>
  <dcterms:created xsi:type="dcterms:W3CDTF">2023-05-15T01:37:53Z</dcterms:created>
  <dcterms:modified xsi:type="dcterms:W3CDTF">2025-02-21T04:03:43Z</dcterms:modified>
</cp:coreProperties>
</file>